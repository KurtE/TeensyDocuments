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ensyDocuments\"/>
    </mc:Choice>
  </mc:AlternateContent>
  <xr:revisionPtr revIDLastSave="0" documentId="13_ncr:1_{FDB4645E-906B-408C-95FD-4E062E3D7452}" xr6:coauthVersionLast="47" xr6:coauthVersionMax="47" xr10:uidLastSave="{00000000-0000-0000-0000-000000000000}"/>
  <bookViews>
    <workbookView xWindow="3390" yWindow="0" windowWidth="27615" windowHeight="20985" xr2:uid="{42D65D2A-8D1C-4D07-8E53-DE4B585A6847}"/>
  </bookViews>
  <sheets>
    <sheet name="T4.x - MUX" sheetId="20" r:id="rId1"/>
    <sheet name="T4" sheetId="3" r:id="rId2"/>
    <sheet name="T4 - GPIO " sheetId="10" r:id="rId3"/>
    <sheet name="T4 card like" sheetId="8" r:id="rId4"/>
    <sheet name="T4.1" sheetId="6" r:id="rId5"/>
    <sheet name="T4.1 MUX" sheetId="14" r:id="rId6"/>
    <sheet name="T4.1 - GPIO" sheetId="11" r:id="rId7"/>
    <sheet name="T4.1 card like" sheetId="7" r:id="rId8"/>
    <sheet name="Micromod" sheetId="12" r:id="rId9"/>
    <sheet name="MMod OV757x" sheetId="18" r:id="rId10"/>
    <sheet name="MicroMod - Mux" sheetId="15" r:id="rId11"/>
    <sheet name="MicroMod - GPIO" sheetId="13" r:id="rId12"/>
    <sheet name="Micromod - MM Pin" sheetId="16" r:id="rId13"/>
    <sheet name="MicroMod Function Boards" sheetId="17" r:id="rId14"/>
    <sheet name="T4.1 card like (2)" sheetId="19" r:id="rId15"/>
  </sheets>
  <definedNames>
    <definedName name="_xlnm._FilterDatabase" localSheetId="0" hidden="1">'T4.x - MUX'!$D$1:$N$104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9" l="1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2" i="20"/>
  <c r="AF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F38" i="19"/>
  <c r="AF39" i="19"/>
  <c r="AF40" i="19"/>
  <c r="AF41" i="19"/>
  <c r="AF42" i="19"/>
  <c r="AF5" i="19"/>
  <c r="A4" i="19"/>
  <c r="A5" i="19"/>
  <c r="A6" i="19"/>
  <c r="A7" i="19"/>
  <c r="A8" i="19"/>
  <c r="A9" i="19"/>
  <c r="A10" i="19"/>
  <c r="A11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3" i="19"/>
</calcChain>
</file>

<file path=xl/sharedStrings.xml><?xml version="1.0" encoding="utf-8"?>
<sst xmlns="http://schemas.openxmlformats.org/spreadsheetml/2006/main" count="7765" uniqueCount="1301">
  <si>
    <t/>
  </si>
  <si>
    <t>Pin</t>
  </si>
  <si>
    <t>Name</t>
  </si>
  <si>
    <t>GPIO</t>
  </si>
  <si>
    <t>Serial</t>
  </si>
  <si>
    <t>I2C</t>
  </si>
  <si>
    <t>SPI</t>
  </si>
  <si>
    <t>PWM</t>
  </si>
  <si>
    <t>CAN</t>
  </si>
  <si>
    <t>Audio</t>
  </si>
  <si>
    <t>XBAR</t>
  </si>
  <si>
    <t>FlexIO</t>
  </si>
  <si>
    <t>Analog</t>
  </si>
  <si>
    <t>---</t>
  </si>
  <si>
    <t>----</t>
  </si>
  <si>
    <t>------</t>
  </si>
  <si>
    <t xml:space="preserve"> 0</t>
  </si>
  <si>
    <t>AD_B0_03</t>
  </si>
  <si>
    <t>1.3</t>
  </si>
  <si>
    <t>PWM1_X1</t>
  </si>
  <si>
    <t>2_RX</t>
  </si>
  <si>
    <t>IO-17</t>
  </si>
  <si>
    <t xml:space="preserve"> 1</t>
  </si>
  <si>
    <t>AD_B0_02</t>
  </si>
  <si>
    <t>1.2</t>
  </si>
  <si>
    <t>PWM1_X0</t>
  </si>
  <si>
    <t>2_TX</t>
  </si>
  <si>
    <t>IO-16</t>
  </si>
  <si>
    <t xml:space="preserve"> 2</t>
  </si>
  <si>
    <t>EMC_04</t>
  </si>
  <si>
    <t>4.4</t>
  </si>
  <si>
    <t>PWM4_A2</t>
  </si>
  <si>
    <t>2:TX_DATA</t>
  </si>
  <si>
    <t>IO-06</t>
  </si>
  <si>
    <t>1:4</t>
  </si>
  <si>
    <t xml:space="preserve"> 3</t>
  </si>
  <si>
    <t>EMC_05</t>
  </si>
  <si>
    <t>4.5</t>
  </si>
  <si>
    <t>PWM4_B2</t>
  </si>
  <si>
    <t>2:TX_SYNC</t>
  </si>
  <si>
    <t>IO-07</t>
  </si>
  <si>
    <t>1:5</t>
  </si>
  <si>
    <t xml:space="preserve"> 4</t>
  </si>
  <si>
    <t>EMC_06</t>
  </si>
  <si>
    <t>4.6</t>
  </si>
  <si>
    <t>PWM2_A0</t>
  </si>
  <si>
    <t>2:TX_BCLK</t>
  </si>
  <si>
    <t>IO-08</t>
  </si>
  <si>
    <t>1:6</t>
  </si>
  <si>
    <t>EMC_07</t>
  </si>
  <si>
    <t>PWM2_B0</t>
  </si>
  <si>
    <t>2:MCLK</t>
  </si>
  <si>
    <t>IO-09</t>
  </si>
  <si>
    <t>1:7</t>
  </si>
  <si>
    <t>B1_01</t>
  </si>
  <si>
    <t>2.17</t>
  </si>
  <si>
    <t>PWM1_B3</t>
  </si>
  <si>
    <t>1:TX_DATA</t>
  </si>
  <si>
    <t>IO-15</t>
  </si>
  <si>
    <t>B1_00</t>
  </si>
  <si>
    <t>2.16</t>
  </si>
  <si>
    <t>PWM1_A3</t>
  </si>
  <si>
    <t>1:RX_DATA</t>
  </si>
  <si>
    <t>IO-14</t>
  </si>
  <si>
    <t>B0_10</t>
  </si>
  <si>
    <t>2.10</t>
  </si>
  <si>
    <t>1:TX3_RX1</t>
  </si>
  <si>
    <t>2:10</t>
  </si>
  <si>
    <t xml:space="preserve"> 9</t>
  </si>
  <si>
    <t>B0_11</t>
  </si>
  <si>
    <t>2.11</t>
  </si>
  <si>
    <t>1:TX2_RX2</t>
  </si>
  <si>
    <t>2:11</t>
  </si>
  <si>
    <t>10</t>
  </si>
  <si>
    <t>B0_00</t>
  </si>
  <si>
    <t>2.0</t>
  </si>
  <si>
    <t>QT1_0</t>
  </si>
  <si>
    <t>MQS_RIGHT</t>
  </si>
  <si>
    <t xml:space="preserve">2:0     </t>
  </si>
  <si>
    <t>11</t>
  </si>
  <si>
    <t>B0_02</t>
  </si>
  <si>
    <t>2.2</t>
  </si>
  <si>
    <t>QT1_2</t>
  </si>
  <si>
    <t>1_TX</t>
  </si>
  <si>
    <t>2:2</t>
  </si>
  <si>
    <t>12</t>
  </si>
  <si>
    <t>B0_01</t>
  </si>
  <si>
    <t>2.1</t>
  </si>
  <si>
    <t>QT1_1</t>
  </si>
  <si>
    <t>MQS_LEFT</t>
  </si>
  <si>
    <t xml:space="preserve">2:1     </t>
  </si>
  <si>
    <t>13</t>
  </si>
  <si>
    <t>B0_03</t>
  </si>
  <si>
    <t>2.3</t>
  </si>
  <si>
    <t>QT2_0</t>
  </si>
  <si>
    <t>1_RX</t>
  </si>
  <si>
    <t>2:3</t>
  </si>
  <si>
    <t>14/A0</t>
  </si>
  <si>
    <t>AD_B1_02</t>
  </si>
  <si>
    <t>1.18</t>
  </si>
  <si>
    <t>QT3_2</t>
  </si>
  <si>
    <t>SPDIF_OUT</t>
  </si>
  <si>
    <t>3:2</t>
  </si>
  <si>
    <t>15/A1</t>
  </si>
  <si>
    <t>AD_B1_03</t>
  </si>
  <si>
    <t>1.19</t>
  </si>
  <si>
    <t>QT3_3</t>
  </si>
  <si>
    <t>SPDIF_IN</t>
  </si>
  <si>
    <t>3:3</t>
  </si>
  <si>
    <t>16/A2</t>
  </si>
  <si>
    <t>AD_B1_07</t>
  </si>
  <si>
    <t>1.23</t>
  </si>
  <si>
    <t>SPDIF_EXTCLK</t>
  </si>
  <si>
    <t>3:7</t>
  </si>
  <si>
    <t>17/A3</t>
  </si>
  <si>
    <t>AD_B1_06</t>
  </si>
  <si>
    <t>1.22</t>
  </si>
  <si>
    <t>SPDIF_LOCK</t>
  </si>
  <si>
    <t>3:6</t>
  </si>
  <si>
    <t>18/A4</t>
  </si>
  <si>
    <t>AD_B1_01</t>
  </si>
  <si>
    <t>1.17</t>
  </si>
  <si>
    <t>QT3_1</t>
  </si>
  <si>
    <t>3:1</t>
  </si>
  <si>
    <t>19/A5</t>
  </si>
  <si>
    <t>AD_B1_00</t>
  </si>
  <si>
    <t>1.16</t>
  </si>
  <si>
    <t>QT3_0</t>
  </si>
  <si>
    <t>3:0</t>
  </si>
  <si>
    <t>20/A6</t>
  </si>
  <si>
    <t>AD_B1_10</t>
  </si>
  <si>
    <t>1.26</t>
  </si>
  <si>
    <t>1:RX_SYNC</t>
  </si>
  <si>
    <t>3:10</t>
  </si>
  <si>
    <t>21/A7</t>
  </si>
  <si>
    <t>AD_B1_11</t>
  </si>
  <si>
    <t>1.27</t>
  </si>
  <si>
    <t>1:RX_BCLK</t>
  </si>
  <si>
    <t>3:11</t>
  </si>
  <si>
    <t>22/A8</t>
  </si>
  <si>
    <t>AD_B1_08</t>
  </si>
  <si>
    <t>1.24</t>
  </si>
  <si>
    <t>PWM4_A0</t>
  </si>
  <si>
    <t>3:8</t>
  </si>
  <si>
    <t>23/A9</t>
  </si>
  <si>
    <t>AD_B1_09</t>
  </si>
  <si>
    <t>1.25</t>
  </si>
  <si>
    <t>PWM4_A1</t>
  </si>
  <si>
    <t>1:MCLK</t>
  </si>
  <si>
    <t>3:9</t>
  </si>
  <si>
    <t>-----</t>
  </si>
  <si>
    <t>24/A10</t>
  </si>
  <si>
    <t>AD_B0_12</t>
  </si>
  <si>
    <t>1.12</t>
  </si>
  <si>
    <t>PWM1_X2</t>
  </si>
  <si>
    <t xml:space="preserve">A1:1  </t>
  </si>
  <si>
    <t>25/A11</t>
  </si>
  <si>
    <t>AD_B0_13</t>
  </si>
  <si>
    <t>1.13</t>
  </si>
  <si>
    <t>PWM1_X3</t>
  </si>
  <si>
    <t>GPT1_CLK</t>
  </si>
  <si>
    <t>A1:2</t>
  </si>
  <si>
    <t>26/A12</t>
  </si>
  <si>
    <t>AD_B1_14</t>
  </si>
  <si>
    <t>1.30</t>
  </si>
  <si>
    <t>1:TX_BCLK</t>
  </si>
  <si>
    <t xml:space="preserve">A2:3  </t>
  </si>
  <si>
    <t>27/A13</t>
  </si>
  <si>
    <t>AD_B1_15</t>
  </si>
  <si>
    <t>1.31</t>
  </si>
  <si>
    <t>1:TX_SYNC</t>
  </si>
  <si>
    <t xml:space="preserve">A2:4  </t>
  </si>
  <si>
    <t>28</t>
  </si>
  <si>
    <t>EMC_32</t>
  </si>
  <si>
    <t>3.18</t>
  </si>
  <si>
    <t>PWM3_B1</t>
  </si>
  <si>
    <t>29</t>
  </si>
  <si>
    <t>EMC_31</t>
  </si>
  <si>
    <t>4.31</t>
  </si>
  <si>
    <t>PWM3_A1</t>
  </si>
  <si>
    <t>30</t>
  </si>
  <si>
    <t>EMC_24</t>
  </si>
  <si>
    <t>4.24</t>
  </si>
  <si>
    <t>PWM1_B0</t>
  </si>
  <si>
    <t>31</t>
  </si>
  <si>
    <t>PWM1_A0</t>
  </si>
  <si>
    <t>32</t>
  </si>
  <si>
    <t>B0_12</t>
  </si>
  <si>
    <t>2.12</t>
  </si>
  <si>
    <t>1:TX1_RX3</t>
  </si>
  <si>
    <t>IO-10</t>
  </si>
  <si>
    <t>2:12</t>
  </si>
  <si>
    <t>33</t>
  </si>
  <si>
    <t>EMC_08</t>
  </si>
  <si>
    <t>4.8</t>
  </si>
  <si>
    <t>PWM2_A1</t>
  </si>
  <si>
    <t>2:RX_DATA</t>
  </si>
  <si>
    <t>1:8</t>
  </si>
  <si>
    <t>EMC_37</t>
  </si>
  <si>
    <t xml:space="preserve">GPT1_3 </t>
  </si>
  <si>
    <t>3_RX</t>
  </si>
  <si>
    <t>3:MCLK</t>
  </si>
  <si>
    <t>EMC_36</t>
  </si>
  <si>
    <t>GPT1_2</t>
  </si>
  <si>
    <t>3_TX</t>
  </si>
  <si>
    <t>3:TX_DATA</t>
  </si>
  <si>
    <t>IO-22</t>
  </si>
  <si>
    <t>IO-23</t>
  </si>
  <si>
    <t>3:14</t>
  </si>
  <si>
    <t>3:15</t>
  </si>
  <si>
    <t>34</t>
  </si>
  <si>
    <t>35</t>
  </si>
  <si>
    <t>SD</t>
  </si>
  <si>
    <t>DATA1</t>
  </si>
  <si>
    <t>DATA0</t>
  </si>
  <si>
    <t>CLK</t>
  </si>
  <si>
    <t>CMD</t>
  </si>
  <si>
    <t>DATA3</t>
  </si>
  <si>
    <t>DATA2</t>
  </si>
  <si>
    <t>SD_B0_00</t>
  </si>
  <si>
    <t>SD_B0_01</t>
  </si>
  <si>
    <t>SD_B0_02</t>
  </si>
  <si>
    <t>SD_B0_03</t>
  </si>
  <si>
    <t>SD_B0_04</t>
  </si>
  <si>
    <t>SD_B0_05</t>
  </si>
  <si>
    <t>3.12</t>
  </si>
  <si>
    <t>3.13</t>
  </si>
  <si>
    <t>3.14</t>
  </si>
  <si>
    <t>3.16</t>
  </si>
  <si>
    <t>3.17</t>
  </si>
  <si>
    <t>IO-05</t>
  </si>
  <si>
    <t>IO-04</t>
  </si>
  <si>
    <t>2:16, 3:16</t>
  </si>
  <si>
    <t>2:17, 3:17</t>
  </si>
  <si>
    <t>PWM1_A1</t>
  </si>
  <si>
    <t>PWM1_B1</t>
  </si>
  <si>
    <t>PWM1_A2</t>
  </si>
  <si>
    <t>PWM1_B2</t>
  </si>
  <si>
    <t>Serial1(6) RX</t>
  </si>
  <si>
    <t>Serial1(6) TX</t>
  </si>
  <si>
    <t>Serial2(4) RX</t>
  </si>
  <si>
    <t>Serial2(4) TX</t>
  </si>
  <si>
    <t>Serial3(2) TX</t>
  </si>
  <si>
    <t>Serial3(2) RX</t>
  </si>
  <si>
    <t>Serial3(2) CTS</t>
  </si>
  <si>
    <t>Serial4(3) RX</t>
  </si>
  <si>
    <t>Serial4(3) TX</t>
  </si>
  <si>
    <t>Serial5(8) TX</t>
  </si>
  <si>
    <t>Serial5(8) RX</t>
  </si>
  <si>
    <t>Serial5(8) RTS</t>
  </si>
  <si>
    <t>Serial5(8) CTS</t>
  </si>
  <si>
    <t>Serial6(1) TX</t>
  </si>
  <si>
    <t>Serial6(1) RX</t>
  </si>
  <si>
    <t>Serial7(7) RX</t>
  </si>
  <si>
    <t>Serial7(7) TX</t>
  </si>
  <si>
    <t>SPI(4) CS0</t>
  </si>
  <si>
    <t>SPI(4) MOSI</t>
  </si>
  <si>
    <t>SPI(4) MISO</t>
  </si>
  <si>
    <t>SPI(4) SCK</t>
  </si>
  <si>
    <t>SPI1(3) MOSI</t>
  </si>
  <si>
    <t>SPI1(3) SCK</t>
  </si>
  <si>
    <t>SPI1(3) CS0</t>
  </si>
  <si>
    <t>SPI1(3) MISO</t>
  </si>
  <si>
    <t>SPI2(1) MISO</t>
  </si>
  <si>
    <t>SPI2(1) MOSI</t>
  </si>
  <si>
    <t>SPI2(1) CS0</t>
  </si>
  <si>
    <t>SPI2(1) SCK</t>
  </si>
  <si>
    <t>SPI2(1) B_DQS</t>
  </si>
  <si>
    <t>SPI2(1) B_SSO_B</t>
  </si>
  <si>
    <t>A1:7, A2:7</t>
  </si>
  <si>
    <t>A1:8, A2:8</t>
  </si>
  <si>
    <t>A1:12, A2:12</t>
  </si>
  <si>
    <t>A1:11, A2:11</t>
  </si>
  <si>
    <t>A1:6, A2:6</t>
  </si>
  <si>
    <t>A1:5, A2:5</t>
  </si>
  <si>
    <t>A1:15, A2:15</t>
  </si>
  <si>
    <t>A1:0, A2:0</t>
  </si>
  <si>
    <t>A1:13, A2:13</t>
  </si>
  <si>
    <t>A1:14, A2:14</t>
  </si>
  <si>
    <t>Wire(1) SDA</t>
  </si>
  <si>
    <t>Wire(1) SCL</t>
  </si>
  <si>
    <t>Wire1(3) SDA</t>
  </si>
  <si>
    <t>Wire1(3) SCL</t>
  </si>
  <si>
    <t>Wire2(4) SCL</t>
  </si>
  <si>
    <t>Wire2(4) SDA</t>
  </si>
  <si>
    <t>SPI2(1) CS1</t>
  </si>
  <si>
    <t>Serial3(2) RTS</t>
  </si>
  <si>
    <t xml:space="preserve">B1_13    </t>
  </si>
  <si>
    <t xml:space="preserve">B1_12    </t>
  </si>
  <si>
    <t xml:space="preserve">B1_02    </t>
  </si>
  <si>
    <t xml:space="preserve">B1_03    </t>
  </si>
  <si>
    <t xml:space="preserve">AD_B1_12 </t>
  </si>
  <si>
    <t xml:space="preserve">AD_B1_13 </t>
  </si>
  <si>
    <t xml:space="preserve">AD_B1_04 </t>
  </si>
  <si>
    <t xml:space="preserve">AD_B1_05 </t>
  </si>
  <si>
    <t>Serial8(5) RX</t>
  </si>
  <si>
    <t>Serial8(5) TX</t>
  </si>
  <si>
    <t xml:space="preserve">SPI(4) CS2 </t>
  </si>
  <si>
    <t xml:space="preserve">SPI(4) CS1 </t>
  </si>
  <si>
    <t xml:space="preserve">SPI1(3) CS0 </t>
  </si>
  <si>
    <t>PWM2_A3</t>
  </si>
  <si>
    <t>PWM2_B3</t>
  </si>
  <si>
    <t>GPT2_1</t>
  </si>
  <si>
    <t xml:space="preserve">1:TX_BCLK </t>
  </si>
  <si>
    <t xml:space="preserve">1:TX_SYNC </t>
  </si>
  <si>
    <t xml:space="preserve">1:rx_data </t>
  </si>
  <si>
    <t xml:space="preserve">1:tx_data </t>
  </si>
  <si>
    <t>2:29,3:29</t>
  </si>
  <si>
    <t>2:28,3:28</t>
  </si>
  <si>
    <t>2:18,3:18</t>
  </si>
  <si>
    <t>2:19,3:19</t>
  </si>
  <si>
    <t>A2:1</t>
  </si>
  <si>
    <t>A2:2</t>
  </si>
  <si>
    <t>3:5</t>
  </si>
  <si>
    <t>3:4</t>
  </si>
  <si>
    <t>3:12</t>
  </si>
  <si>
    <t>3:13</t>
  </si>
  <si>
    <t>36</t>
  </si>
  <si>
    <t>37</t>
  </si>
  <si>
    <t>Bottom Memory Connectors</t>
  </si>
  <si>
    <t>EMC_22</t>
  </si>
  <si>
    <t>EMC_25</t>
  </si>
  <si>
    <t>EMC_26</t>
  </si>
  <si>
    <t>EMC_27</t>
  </si>
  <si>
    <t>EMC_28</t>
  </si>
  <si>
    <t>EMC_29</t>
  </si>
  <si>
    <t>4:22</t>
  </si>
  <si>
    <t>4:24</t>
  </si>
  <si>
    <t>4:25</t>
  </si>
  <si>
    <t>4:26</t>
  </si>
  <si>
    <t>4:27</t>
  </si>
  <si>
    <t>4:28</t>
  </si>
  <si>
    <t>4:29</t>
  </si>
  <si>
    <t xml:space="preserve">Serial8(5) RX </t>
  </si>
  <si>
    <t>Serial8(5) CTS</t>
  </si>
  <si>
    <t>Serial8(5) RTS</t>
  </si>
  <si>
    <t xml:space="preserve">Serial1(6) TX </t>
  </si>
  <si>
    <t xml:space="preserve">Serial1(6) RX </t>
  </si>
  <si>
    <t>Serial1(6) RTS</t>
  </si>
  <si>
    <t>1:12</t>
  </si>
  <si>
    <t>1:13</t>
  </si>
  <si>
    <t>1:14</t>
  </si>
  <si>
    <t>1:15</t>
  </si>
  <si>
    <t>PWM3_A0</t>
  </si>
  <si>
    <t>PWM2_A2, QT4_1</t>
  </si>
  <si>
    <t>PWM3_B3, QT2_3</t>
  </si>
  <si>
    <t>PWM2_B2, QT4_2</t>
  </si>
  <si>
    <t>42</t>
  </si>
  <si>
    <t>43</t>
  </si>
  <si>
    <t>44</t>
  </si>
  <si>
    <t>45</t>
  </si>
  <si>
    <t>46</t>
  </si>
  <si>
    <t>47</t>
  </si>
  <si>
    <t>48</t>
  </si>
  <si>
    <t>SD Pins - Cable connector(T4 34-39)</t>
  </si>
  <si>
    <t>49</t>
  </si>
  <si>
    <t>50</t>
  </si>
  <si>
    <t>51</t>
  </si>
  <si>
    <t>52</t>
  </si>
  <si>
    <t>53</t>
  </si>
  <si>
    <t>54</t>
  </si>
  <si>
    <t>USDHC2_DATA0</t>
  </si>
  <si>
    <t>USDHC2_DATA1</t>
  </si>
  <si>
    <t>USDHC2_DATA2</t>
  </si>
  <si>
    <t>USDHC2_DATA3</t>
  </si>
  <si>
    <t>USDHC2_CMD</t>
  </si>
  <si>
    <t>USDHC2_CLK</t>
  </si>
  <si>
    <t>FLEXSPI2_A_SS1_B</t>
  </si>
  <si>
    <t>FLEXSPI2_A_SS0_B</t>
  </si>
  <si>
    <t>FLEXSPI2_A_SCLK</t>
  </si>
  <si>
    <t>FLEXSPI2_A_DATA00</t>
  </si>
  <si>
    <t xml:space="preserve">FLEXSPI2_A_DATA01, SPI2(1) SCK  </t>
  </si>
  <si>
    <t>FLEXSPI2_A_DATA02, SPI2(1) MOSI</t>
  </si>
  <si>
    <t>FLEXSPI2_A_DATA03, SPI2(1) MISO</t>
  </si>
  <si>
    <t>FLEXSPI B_DQS</t>
  </si>
  <si>
    <t>FLEXSPI B_SSO_B</t>
  </si>
  <si>
    <t>Prop</t>
  </si>
  <si>
    <t>Native</t>
  </si>
  <si>
    <t>Digital</t>
  </si>
  <si>
    <t>GND</t>
  </si>
  <si>
    <t>Vin</t>
  </si>
  <si>
    <t>RX1</t>
  </si>
  <si>
    <t>TX1</t>
  </si>
  <si>
    <t>3.3V 250mA max</t>
  </si>
  <si>
    <t>A9</t>
  </si>
  <si>
    <t>SCL2</t>
  </si>
  <si>
    <t>A8</t>
  </si>
  <si>
    <t>SDA2</t>
  </si>
  <si>
    <t>A7</t>
  </si>
  <si>
    <t>rx1</t>
  </si>
  <si>
    <t>A6</t>
  </si>
  <si>
    <t>A5</t>
  </si>
  <si>
    <t>SCL0</t>
  </si>
  <si>
    <t>RX3</t>
  </si>
  <si>
    <t>A4</t>
  </si>
  <si>
    <t>SDA0</t>
  </si>
  <si>
    <t>TX3</t>
  </si>
  <si>
    <t>A3</t>
  </si>
  <si>
    <t>CS0</t>
  </si>
  <si>
    <t>RX2</t>
  </si>
  <si>
    <t>A2</t>
  </si>
  <si>
    <t>TX2</t>
  </si>
  <si>
    <t>A1</t>
  </si>
  <si>
    <t>A0</t>
  </si>
  <si>
    <t>SCK0</t>
  </si>
  <si>
    <t>3.3V</t>
  </si>
  <si>
    <t>A17</t>
  </si>
  <si>
    <t>SDA1</t>
  </si>
  <si>
    <t>A16</t>
  </si>
  <si>
    <t>SCL1</t>
  </si>
  <si>
    <t>CS1</t>
  </si>
  <si>
    <t>RX4</t>
  </si>
  <si>
    <t>RX5</t>
  </si>
  <si>
    <t>SCK1</t>
  </si>
  <si>
    <t>TX4</t>
  </si>
  <si>
    <t>TX5</t>
  </si>
  <si>
    <t>TX6</t>
  </si>
  <si>
    <t>RX6</t>
  </si>
  <si>
    <t>RX7</t>
  </si>
  <si>
    <t>TX7</t>
  </si>
  <si>
    <t>RX8</t>
  </si>
  <si>
    <t>TX8</t>
  </si>
  <si>
    <t>B1_13</t>
  </si>
  <si>
    <t>B1_12</t>
  </si>
  <si>
    <t>B1_02</t>
  </si>
  <si>
    <t>B1_03</t>
  </si>
  <si>
    <t>AD_B1_12</t>
  </si>
  <si>
    <t>AD_B1_13</t>
  </si>
  <si>
    <t>AD_B1_04</t>
  </si>
  <si>
    <t>AD_B1_05</t>
  </si>
  <si>
    <t>AD-B1_09</t>
  </si>
  <si>
    <t>MOSI0</t>
  </si>
  <si>
    <t>MISO0</t>
  </si>
  <si>
    <t>MISO1</t>
  </si>
  <si>
    <t>MOSI1</t>
  </si>
  <si>
    <t>A10-1</t>
  </si>
  <si>
    <t>A11-1</t>
  </si>
  <si>
    <t>A12-2</t>
  </si>
  <si>
    <t>A13-2</t>
  </si>
  <si>
    <t>A15-2</t>
  </si>
  <si>
    <t>A14-2</t>
  </si>
  <si>
    <t>A</t>
  </si>
  <si>
    <t>G</t>
  </si>
  <si>
    <t>5V</t>
  </si>
  <si>
    <t>3V</t>
  </si>
  <si>
    <t>C</t>
  </si>
  <si>
    <t>V</t>
  </si>
  <si>
    <t>M</t>
  </si>
  <si>
    <t>SM</t>
  </si>
  <si>
    <t>S</t>
  </si>
  <si>
    <t>A-EN</t>
  </si>
  <si>
    <t>M-CS</t>
  </si>
  <si>
    <t>L-EN</t>
  </si>
  <si>
    <t>M/L</t>
  </si>
  <si>
    <t>Xbar</t>
  </si>
  <si>
    <t>O2</t>
  </si>
  <si>
    <t>LR2</t>
  </si>
  <si>
    <t>BCL2</t>
  </si>
  <si>
    <t>IN2</t>
  </si>
  <si>
    <t>O1D</t>
  </si>
  <si>
    <t>O1A</t>
  </si>
  <si>
    <t>IN1</t>
  </si>
  <si>
    <t>O1C</t>
  </si>
  <si>
    <t>MCL1</t>
  </si>
  <si>
    <t>BCL1</t>
  </si>
  <si>
    <t>LRC1</t>
  </si>
  <si>
    <t>SPDO</t>
  </si>
  <si>
    <t>SPDI</t>
  </si>
  <si>
    <t>O1B</t>
  </si>
  <si>
    <t>MCL2</t>
  </si>
  <si>
    <t>MQR</t>
  </si>
  <si>
    <t>MQL</t>
  </si>
  <si>
    <t>38/A14</t>
  </si>
  <si>
    <t>39/A5</t>
  </si>
  <si>
    <t>40/A16</t>
  </si>
  <si>
    <t>41/A17</t>
  </si>
  <si>
    <t>A1:9,A2:9</t>
  </si>
  <si>
    <t>A1:10,A2:10</t>
  </si>
  <si>
    <t>CS0-2</t>
  </si>
  <si>
    <t>CS0-1</t>
  </si>
  <si>
    <t>CS1-0</t>
  </si>
  <si>
    <t>Back Memory Chips</t>
  </si>
  <si>
    <t>(pin 1)</t>
  </si>
  <si>
    <t>CTS3</t>
  </si>
  <si>
    <t>CTS8</t>
  </si>
  <si>
    <t xml:space="preserve">            |_____</t>
  </si>
  <si>
    <t>_______|</t>
  </si>
  <si>
    <t>CTS5</t>
  </si>
  <si>
    <t>MISO2</t>
  </si>
  <si>
    <t>MOSI2</t>
  </si>
  <si>
    <t>CS2</t>
  </si>
  <si>
    <t>SCK2</t>
  </si>
  <si>
    <t>__________|</t>
  </si>
  <si>
    <t>_________|</t>
  </si>
  <si>
    <t>______|</t>
  </si>
  <si>
    <t xml:space="preserve">          |_______</t>
  </si>
  <si>
    <t xml:space="preserve">        |_______</t>
  </si>
  <si>
    <t xml:space="preserve"> |___________</t>
  </si>
  <si>
    <t>1.20</t>
  </si>
  <si>
    <t>LED</t>
  </si>
  <si>
    <t>SDIO Pins</t>
  </si>
  <si>
    <t>Bottom SDIO Pins</t>
  </si>
  <si>
    <t>Bottom SMT Pins</t>
  </si>
  <si>
    <t>PWM2_B2,QT4_2</t>
  </si>
  <si>
    <t>1X1</t>
  </si>
  <si>
    <t>1X0</t>
  </si>
  <si>
    <t>4A2</t>
  </si>
  <si>
    <t>4B2</t>
  </si>
  <si>
    <t>2A0</t>
  </si>
  <si>
    <t>2A1</t>
  </si>
  <si>
    <t>2A2, Q41</t>
  </si>
  <si>
    <t>1B3</t>
  </si>
  <si>
    <t>1A3</t>
  </si>
  <si>
    <t>2B2,Q42</t>
  </si>
  <si>
    <t>Q10</t>
  </si>
  <si>
    <t>Q12</t>
  </si>
  <si>
    <t>Q11</t>
  </si>
  <si>
    <t>1X3</t>
  </si>
  <si>
    <t>1X2</t>
  </si>
  <si>
    <t>3B1</t>
  </si>
  <si>
    <t>1B1</t>
  </si>
  <si>
    <t>3A1</t>
  </si>
  <si>
    <t>G13</t>
  </si>
  <si>
    <t>G12</t>
  </si>
  <si>
    <t>4A1</t>
  </si>
  <si>
    <t>4A0</t>
  </si>
  <si>
    <t>3A0</t>
  </si>
  <si>
    <t>Q30</t>
  </si>
  <si>
    <t>Q31</t>
  </si>
  <si>
    <t>Q33</t>
  </si>
  <si>
    <t>Q32</t>
  </si>
  <si>
    <t>Q20</t>
  </si>
  <si>
    <t>2A3</t>
  </si>
  <si>
    <t>2B3</t>
  </si>
  <si>
    <t>2B0</t>
  </si>
  <si>
    <t>1A1</t>
  </si>
  <si>
    <t>1B0</t>
  </si>
  <si>
    <t>1A0</t>
  </si>
  <si>
    <t>1B2</t>
  </si>
  <si>
    <t>1A2</t>
  </si>
  <si>
    <t>3B3,Q23</t>
  </si>
  <si>
    <t>CSI_D2</t>
  </si>
  <si>
    <t>CSI_D3</t>
  </si>
  <si>
    <t>CSI_D4</t>
  </si>
  <si>
    <t>CSI_D5</t>
  </si>
  <si>
    <t>CSI_D6</t>
  </si>
  <si>
    <t>CSI_D7</t>
  </si>
  <si>
    <t>CSI_PIXCLK</t>
  </si>
  <si>
    <t>CSI_VSYNC</t>
  </si>
  <si>
    <t>CSI_HSYNC</t>
  </si>
  <si>
    <t>CSI_MCLK</t>
  </si>
  <si>
    <t>1.02</t>
  </si>
  <si>
    <t>1.03</t>
  </si>
  <si>
    <t>2.00</t>
  </si>
  <si>
    <t>2.01</t>
  </si>
  <si>
    <t>2.02</t>
  </si>
  <si>
    <t>2.03</t>
  </si>
  <si>
    <t>4.04</t>
  </si>
  <si>
    <t>4.05</t>
  </si>
  <si>
    <t>4.06</t>
  </si>
  <si>
    <t>4.08</t>
  </si>
  <si>
    <t>4.07</t>
  </si>
  <si>
    <t>4.22</t>
  </si>
  <si>
    <t>4.25</t>
  </si>
  <si>
    <t>4.26</t>
  </si>
  <si>
    <t>4.27</t>
  </si>
  <si>
    <t>4.28</t>
  </si>
  <si>
    <t>4.29</t>
  </si>
  <si>
    <t>CSI_D9</t>
  </si>
  <si>
    <t>CSI_D8</t>
  </si>
  <si>
    <t>3.15</t>
  </si>
  <si>
    <t>GPT2-2</t>
  </si>
  <si>
    <t>GPT2-1</t>
  </si>
  <si>
    <t>38</t>
  </si>
  <si>
    <t>39</t>
  </si>
  <si>
    <t>40</t>
  </si>
  <si>
    <t>41</t>
  </si>
  <si>
    <t>B0_04</t>
  </si>
  <si>
    <t>B0_05</t>
  </si>
  <si>
    <t>B0_06</t>
  </si>
  <si>
    <t>B0_07</t>
  </si>
  <si>
    <t>B0_08</t>
  </si>
  <si>
    <t>B0_09</t>
  </si>
  <si>
    <t>2:04</t>
  </si>
  <si>
    <t>2:05</t>
  </si>
  <si>
    <t>2:06</t>
  </si>
  <si>
    <t>2:07</t>
  </si>
  <si>
    <t>2:08</t>
  </si>
  <si>
    <t>2:09</t>
  </si>
  <si>
    <t>Micromod new pins</t>
  </si>
  <si>
    <t>QT2_1</t>
  </si>
  <si>
    <t>2:4</t>
  </si>
  <si>
    <t>QT2_2</t>
  </si>
  <si>
    <t>2:5</t>
  </si>
  <si>
    <t>2:7</t>
  </si>
  <si>
    <t>2:9</t>
  </si>
  <si>
    <t>2:6</t>
  </si>
  <si>
    <t>2:8</t>
  </si>
  <si>
    <t>QT4_0</t>
  </si>
  <si>
    <t>2.04</t>
  </si>
  <si>
    <t>2.05</t>
  </si>
  <si>
    <t>2.06</t>
  </si>
  <si>
    <t>2.07</t>
  </si>
  <si>
    <t>2.08</t>
  </si>
  <si>
    <t>2.09</t>
  </si>
  <si>
    <t>SD/CSI/LCD</t>
  </si>
  <si>
    <t>LCD_CLK</t>
  </si>
  <si>
    <t>LCD_ENABLE</t>
  </si>
  <si>
    <t>LCD_HSYNC</t>
  </si>
  <si>
    <t>LCD_VSYNC</t>
  </si>
  <si>
    <t>LCD_DATA0</t>
  </si>
  <si>
    <t>LCD_DATA1</t>
  </si>
  <si>
    <t>LCD_DATA2</t>
  </si>
  <si>
    <t>LCD_DATA3</t>
  </si>
  <si>
    <t>LCD_DATA4</t>
  </si>
  <si>
    <t>LCD_DATA5</t>
  </si>
  <si>
    <t>LCD_DATA6</t>
  </si>
  <si>
    <t>LCD_DATA7</t>
  </si>
  <si>
    <t>LCD_DATA8</t>
  </si>
  <si>
    <t>F2A_SSO_B</t>
  </si>
  <si>
    <t>F2A_D1</t>
  </si>
  <si>
    <t>F2A_D0</t>
  </si>
  <si>
    <t>F2A_SCLK</t>
  </si>
  <si>
    <t>F2A_D2</t>
  </si>
  <si>
    <t>F2A_D3</t>
  </si>
  <si>
    <t>F2A_SS1_B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</si>
  <si>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</si>
  <si>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</si>
  <si>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</si>
  <si>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</si>
  <si>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</si>
  <si>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</si>
  <si>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</si>
  <si>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</si>
  <si>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</si>
  <si>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</si>
  <si>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FLEXCAN2_RX</t>
  </si>
  <si>
    <t>FLEXCAN2_TX</t>
  </si>
  <si>
    <t>LPUART6_RX</t>
  </si>
  <si>
    <t>XBAR1_INOUT17</t>
  </si>
  <si>
    <t>USB_OTG1_OC</t>
  </si>
  <si>
    <t>FLEXPWM1_PWMX01</t>
  </si>
  <si>
    <t>GPIO1_IO03</t>
  </si>
  <si>
    <t>REF_CLK_24M</t>
  </si>
  <si>
    <t>LPSPI3_PCS0</t>
  </si>
  <si>
    <t>XBAR1_INOUT16</t>
  </si>
  <si>
    <t>LPUART6_TX</t>
  </si>
  <si>
    <t>USB_OTG1_PWR</t>
  </si>
  <si>
    <t>LEXPWM1_PWMX0</t>
  </si>
  <si>
    <t>GPIO1_IO02</t>
  </si>
  <si>
    <t>LPI2C1_HREQ</t>
  </si>
  <si>
    <t>LPSPI3_SDI</t>
  </si>
  <si>
    <t>LPI2C4_SCL</t>
  </si>
  <si>
    <t>CCM_PMIC_READY</t>
  </si>
  <si>
    <t>LPUART1_TX</t>
  </si>
  <si>
    <t>WDOG2_WDOG_B</t>
  </si>
  <si>
    <t>FLEXPWM1_PWMX02</t>
  </si>
  <si>
    <t>GPIO1_IO12</t>
  </si>
  <si>
    <t>ENET_1588_EVENT1_OUT</t>
  </si>
  <si>
    <t>NMI_GLUE_NMI</t>
  </si>
  <si>
    <t>LPI2C4_SDA</t>
  </si>
  <si>
    <t>LPUART1_RX</t>
  </si>
  <si>
    <t>EWM_OUT_B</t>
  </si>
  <si>
    <t>FLEXPWM1_PWMX03</t>
  </si>
  <si>
    <t>GPIO1_IO13</t>
  </si>
  <si>
    <t>ENET_1588_EVENT1_IN</t>
  </si>
  <si>
    <t>USB_OTG2_ID</t>
  </si>
  <si>
    <t>QTIMER3_TIMER0</t>
  </si>
  <si>
    <t>LPUART2_CTS_B</t>
  </si>
  <si>
    <t>LPI2C1_SCL</t>
  </si>
  <si>
    <t>WDOG1_B</t>
  </si>
  <si>
    <t>GPIO1_IO16</t>
  </si>
  <si>
    <t>QTIMER3_TIMER1</t>
  </si>
  <si>
    <t>LPUART2_RTS_B</t>
  </si>
  <si>
    <t>LPI2C1_SDA</t>
  </si>
  <si>
    <t>GPIO1_IO17</t>
  </si>
  <si>
    <t>USDHC1_VSELECT</t>
  </si>
  <si>
    <t>USDHC1_W</t>
  </si>
  <si>
    <t>KPP_ROW07</t>
  </si>
  <si>
    <t>ENET2_1588_EVENT0_OUT</t>
  </si>
  <si>
    <t>FLEXIO3_FLEXIO00</t>
  </si>
  <si>
    <t>KPP_COL07</t>
  </si>
  <si>
    <t>ENET2_1588_EVENT0_IN</t>
  </si>
  <si>
    <t>FLEXIO3_FLEXIO01</t>
  </si>
  <si>
    <t>USB_OTG1_ID</t>
  </si>
  <si>
    <t>QTIMER3_TIMER2</t>
  </si>
  <si>
    <t>LPUART2_TX</t>
  </si>
  <si>
    <t>ENET_1588_EVENT2_OUT</t>
  </si>
  <si>
    <t>GPIO1_IO18</t>
  </si>
  <si>
    <t>USDHC1_CD_B</t>
  </si>
  <si>
    <t>KPP_ROW06</t>
  </si>
  <si>
    <t>GPT2_CLK</t>
  </si>
  <si>
    <t>FLEXIO3_FLEXIO02</t>
  </si>
  <si>
    <t>QTIMER3_TIMER3</t>
  </si>
  <si>
    <t>LPUART2_RX</t>
  </si>
  <si>
    <t>ENET_1588_EVENT2_IN</t>
  </si>
  <si>
    <t>GPIO1_IO19</t>
  </si>
  <si>
    <t>USDHC2_CD_B</t>
  </si>
  <si>
    <t>KPP_COL06</t>
  </si>
  <si>
    <t>GPT2_CAPTURE1</t>
  </si>
  <si>
    <t>FLEXIO3_FLEXIO03</t>
  </si>
  <si>
    <t>FLEXSPIB_DATA03</t>
  </si>
  <si>
    <t>ENET_MDC</t>
  </si>
  <si>
    <t>LPUART3_CTS_B</t>
  </si>
  <si>
    <t>SPDIF_SR_CLK</t>
  </si>
  <si>
    <t>GPIO1_IO20</t>
  </si>
  <si>
    <t>KPP_ROW05</t>
  </si>
  <si>
    <t>GPT2_CAPTURE2</t>
  </si>
  <si>
    <t>FLEXIO3_FLEXIO04</t>
  </si>
  <si>
    <t>FLEXSPIB_DATA02</t>
  </si>
  <si>
    <t>ENET_MDIO</t>
  </si>
  <si>
    <t>LPUART3_RTS_B</t>
  </si>
  <si>
    <t>GPIO1_IO21</t>
  </si>
  <si>
    <t>KPP_COL05</t>
  </si>
  <si>
    <t>GPT2_COMPARE1</t>
  </si>
  <si>
    <t>FLEXIO3_FLEXIO05</t>
  </si>
  <si>
    <t>FLEXSPIB_DATA01</t>
  </si>
  <si>
    <t>LPI2C3_SDA</t>
  </si>
  <si>
    <t>LPUART3_TX</t>
  </si>
  <si>
    <t>GPIO1_IO22</t>
  </si>
  <si>
    <t>KPP_ROW04</t>
  </si>
  <si>
    <t>GPT2_COMPARE2</t>
  </si>
  <si>
    <t>FLEXIO3_FLEXIO06</t>
  </si>
  <si>
    <t>FLEXSPIB_DATA00</t>
  </si>
  <si>
    <t>LPI2C3_SCL</t>
  </si>
  <si>
    <t>LPUART3_RX</t>
  </si>
  <si>
    <t>SPDIF_EXT_CLK</t>
  </si>
  <si>
    <t>GPIO1_IO23</t>
  </si>
  <si>
    <t>KPP_COL04</t>
  </si>
  <si>
    <t>GPT2_COMPARE3</t>
  </si>
  <si>
    <t>FLEXIO3_FLEXIO07</t>
  </si>
  <si>
    <t>FLEXSPIA_SS1_B</t>
  </si>
  <si>
    <t>FLEXPWM4_PWMA00</t>
  </si>
  <si>
    <t>FLEXCAN1_TX</t>
  </si>
  <si>
    <t>CSI_DATA09</t>
  </si>
  <si>
    <t>GPIO1_IO24</t>
  </si>
  <si>
    <t>KPP_ROW03</t>
  </si>
  <si>
    <t>FLEXIO3_FLEXIO08</t>
  </si>
  <si>
    <t>FLEXSPIA_DQS</t>
  </si>
  <si>
    <t>FLEXPWM4_PWMA01</t>
  </si>
  <si>
    <t>FLEXCAN1_RX</t>
  </si>
  <si>
    <t>SAI1_MCLK</t>
  </si>
  <si>
    <t>CSI_DATA08</t>
  </si>
  <si>
    <t>GPIO1_IO25</t>
  </si>
  <si>
    <t>KPP_COL03</t>
  </si>
  <si>
    <t>FLEXIO3_FLEXIO09</t>
  </si>
  <si>
    <t>FLEXSPIA_DATA03</t>
  </si>
  <si>
    <t>LPUART8_TX</t>
  </si>
  <si>
    <t>SAI1_RX_SYNC</t>
  </si>
  <si>
    <t>CSI_DATA07</t>
  </si>
  <si>
    <t>GPIO1_IO26</t>
  </si>
  <si>
    <t>USDHC2_WP</t>
  </si>
  <si>
    <t>KPP_ROW02</t>
  </si>
  <si>
    <t>ENET2_1588_EVENT1_OUT</t>
  </si>
  <si>
    <t>FLEXIO3_FLEXIO10</t>
  </si>
  <si>
    <t>FLEXSPIA_DATA02</t>
  </si>
  <si>
    <t>LPUART8_RX</t>
  </si>
  <si>
    <t>SAI1_RX_BCL</t>
  </si>
  <si>
    <t>CSI_DATA06</t>
  </si>
  <si>
    <t>GPIO1_IO27</t>
  </si>
  <si>
    <t>USDHC2_RESET_B</t>
  </si>
  <si>
    <t>KPP_COL02</t>
  </si>
  <si>
    <t>ENET2_1588_EVENT1_IN</t>
  </si>
  <si>
    <t>FLEXIO3_FLEXIO11</t>
  </si>
  <si>
    <t>FLEXSPIA_DATA01</t>
  </si>
  <si>
    <t>ACMP_OUT00</t>
  </si>
  <si>
    <t>SAI1_RX_DATA00</t>
  </si>
  <si>
    <t>CSI_DATA05</t>
  </si>
  <si>
    <t>GPIO1_IO28</t>
  </si>
  <si>
    <t>USDHC2_DATA4</t>
  </si>
  <si>
    <t>KPP_ROW01</t>
  </si>
  <si>
    <t>ENET2_1588_EVENT2_OUT</t>
  </si>
  <si>
    <t>FLEXIO3_FLEXIO12</t>
  </si>
  <si>
    <t>FLEXSPIA_DATA00</t>
  </si>
  <si>
    <t>ACMP_OUT01</t>
  </si>
  <si>
    <t>SAI1_TX_DATA00</t>
  </si>
  <si>
    <t>CSI_DATA04</t>
  </si>
  <si>
    <t>GPIO1_IO29</t>
  </si>
  <si>
    <t>USDHC2_DATA5</t>
  </si>
  <si>
    <t>KPP_COL01</t>
  </si>
  <si>
    <t>ENET2_1588_EVENT2_IN</t>
  </si>
  <si>
    <t>FLEXIO3_FLEXIO13</t>
  </si>
  <si>
    <t>FLEXSPIA_SCLK</t>
  </si>
  <si>
    <t>ACMP_OUT02</t>
  </si>
  <si>
    <t>LPSPI3_SDO</t>
  </si>
  <si>
    <t>SAI1_TX_BCLK</t>
  </si>
  <si>
    <t>CSI_DATA03</t>
  </si>
  <si>
    <t>GPIO1_IO30</t>
  </si>
  <si>
    <t>USDHC2_DATA6</t>
  </si>
  <si>
    <t>KPP_ROW00</t>
  </si>
  <si>
    <t>ENET2_1588_EVENT3_OUT</t>
  </si>
  <si>
    <t>FLEXIO3_FLEXIO14</t>
  </si>
  <si>
    <t>FLEXSPIA_SS0_B</t>
  </si>
  <si>
    <t>ACMP_OUT03</t>
  </si>
  <si>
    <t>LPSPI3_SCK</t>
  </si>
  <si>
    <t>SAI1_TX_SYNC</t>
  </si>
  <si>
    <t>CSI_DATA02</t>
  </si>
  <si>
    <t>GPIO1_IO31</t>
  </si>
  <si>
    <t>USDHC2_DATA7</t>
  </si>
  <si>
    <t>KPP_COL00</t>
  </si>
  <si>
    <t>ENET2_1588_EVENT3_IN</t>
  </si>
  <si>
    <t>FLEXIO3_FLEXIO15</t>
  </si>
  <si>
    <t>QTIMER1_TIMER0</t>
  </si>
  <si>
    <t>LPSPI4_PCS0</t>
  </si>
  <si>
    <t>FLEXIO2_FLEXIO00</t>
  </si>
  <si>
    <t>GPIO2_IO00</t>
  </si>
  <si>
    <t>SEMC_CSX01</t>
  </si>
  <si>
    <t>ENET2_MDC</t>
  </si>
  <si>
    <t>QTIMER1_TIMER1</t>
  </si>
  <si>
    <t>LPSPI4_SDI</t>
  </si>
  <si>
    <t>FLEXIO2_FLEXIO01</t>
  </si>
  <si>
    <t>GPIO2_IO01</t>
  </si>
  <si>
    <t>SEMC_CSX02</t>
  </si>
  <si>
    <t>ENET2_MDIO</t>
  </si>
  <si>
    <t>QTIMER1_TIMER2</t>
  </si>
  <si>
    <t>LPSPI4_SDO</t>
  </si>
  <si>
    <t>FLEXIO2_FLEXIO02</t>
  </si>
  <si>
    <t>GPIO2_IO02</t>
  </si>
  <si>
    <t>SEMC_CSX03</t>
  </si>
  <si>
    <t>QTIMER2_TIMER0</t>
  </si>
  <si>
    <t>LPSPI4_SCK</t>
  </si>
  <si>
    <t>FLEXIO2_FLEXIO03</t>
  </si>
  <si>
    <t>GPIO2_IO03</t>
  </si>
  <si>
    <t>WDOG2_RESET_B_DEB</t>
  </si>
  <si>
    <t>LCD_DATA06</t>
  </si>
  <si>
    <t>QTIMER4_TIMER1</t>
  </si>
  <si>
    <t>FLEXPWM2_PWMA02</t>
  </si>
  <si>
    <t>SAI1_TX_DATA03</t>
  </si>
  <si>
    <t>FLEXIO2_FLEXIO10</t>
  </si>
  <si>
    <t>GPIO2_IO10</t>
  </si>
  <si>
    <t>SRC_BOOT_CFG06</t>
  </si>
  <si>
    <t>ENET2_CRS</t>
  </si>
  <si>
    <t>FLEXIO2_FLEXIO11</t>
  </si>
  <si>
    <t>GPIO2_IO11</t>
  </si>
  <si>
    <t>LCD_DATA07</t>
  </si>
  <si>
    <t>QTIMER4_TIMER2</t>
  </si>
  <si>
    <t>FLEXPWM2_PWMB02</t>
  </si>
  <si>
    <t>SAI1_TX_DATA02</t>
  </si>
  <si>
    <t>SRC_BOOT_CFG07</t>
  </si>
  <si>
    <t>ENET2_COL</t>
  </si>
  <si>
    <t>LCD_DATA08</t>
  </si>
  <si>
    <t>XBAR1_INOUT10</t>
  </si>
  <si>
    <t>ARM_TRACE_CLK</t>
  </si>
  <si>
    <t>SAI1_TX_DATA01</t>
  </si>
  <si>
    <t>FLEXIO2_FLEXIO12</t>
  </si>
  <si>
    <t>GPIO2_IO12</t>
  </si>
  <si>
    <t>SRC_BOOT_CFG08</t>
  </si>
  <si>
    <t>ENET2_TDATA00</t>
  </si>
  <si>
    <t>LCD_DATA12</t>
  </si>
  <si>
    <t>XBAR1_INOUT14</t>
  </si>
  <si>
    <t>LPUART4_TX</t>
  </si>
  <si>
    <t>FLEXIO2_FLEXIO16</t>
  </si>
  <si>
    <t>GPIO2_IO16</t>
  </si>
  <si>
    <t>FLEXPWM1_PWMA03</t>
  </si>
  <si>
    <t>ENET2_RX_ER</t>
  </si>
  <si>
    <t>FLEXIO3_FLEXIO16</t>
  </si>
  <si>
    <t>LCD_DATA13</t>
  </si>
  <si>
    <t>XBAR1_INOUT15</t>
  </si>
  <si>
    <t>LPUART4_RX</t>
  </si>
  <si>
    <t>FLEXIO2_FLEXIO17</t>
  </si>
  <si>
    <t>GPIO2_IO17</t>
  </si>
  <si>
    <t>FLEXPWM1_PWMB03</t>
  </si>
  <si>
    <t>ENET2_RDATA00</t>
  </si>
  <si>
    <t>FLEXIO3_FLEXIO17</t>
  </si>
  <si>
    <t>FLEXIO3_FLEXIO18</t>
  </si>
  <si>
    <t>ENET2_RDATA01</t>
  </si>
  <si>
    <t>GPIO2_IO18</t>
  </si>
  <si>
    <t>FLEXIO2_FLEXIO18</t>
  </si>
  <si>
    <t>LCD_DATA14</t>
  </si>
  <si>
    <t>LPSPI4_PCS2</t>
  </si>
  <si>
    <t>FLEXPWM2_PWMA03</t>
  </si>
  <si>
    <t>LCD_DATA15</t>
  </si>
  <si>
    <t>FLEXIO2_FLEXIO19</t>
  </si>
  <si>
    <t>GPIO2_IO19</t>
  </si>
  <si>
    <t>FLEXIO3_FLEXIO19</t>
  </si>
  <si>
    <t>ENET2_RX_EN</t>
  </si>
  <si>
    <t>FLEXPWM2_PWMB03</t>
  </si>
  <si>
    <t>LPSPI4_PCS1</t>
  </si>
  <si>
    <t>LPUART5_TX</t>
  </si>
  <si>
    <t>ENET_1588_EVENT0_IN</t>
  </si>
  <si>
    <t>GPIO2_IO28</t>
  </si>
  <si>
    <t>FLEXIO3_FLEXIO28</t>
  </si>
  <si>
    <t>LPUART5_RX</t>
  </si>
  <si>
    <t>ENET_1588_EVENT0_OUT</t>
  </si>
  <si>
    <t>FLEXIO2_FLEXIO28</t>
  </si>
  <si>
    <t>FLEXIO2_FLEXIO29</t>
  </si>
  <si>
    <t>GPIO2_IO29</t>
  </si>
  <si>
    <t>USDHC1_WP</t>
  </si>
  <si>
    <t>SEMC_DQS4</t>
  </si>
  <si>
    <t>FLEXIO3_FLEXIO29</t>
  </si>
  <si>
    <t>SEMC_DATA04</t>
  </si>
  <si>
    <t>FLEXPWM4_PWMA02</t>
  </si>
  <si>
    <t>SAI2_TX_DATA</t>
  </si>
  <si>
    <t>XBAR1_INOUT06</t>
  </si>
  <si>
    <t>FLEXIO1_FLEXIO04</t>
  </si>
  <si>
    <t>GPIO4_IO04</t>
  </si>
  <si>
    <t>SEMC_DATA05</t>
  </si>
  <si>
    <t>XBAR1_INOUT07</t>
  </si>
  <si>
    <t>FLEXIO1_FLEXIO05</t>
  </si>
  <si>
    <t>GPIO4_IO05</t>
  </si>
  <si>
    <t>FLEXPWM4_PWMB0</t>
  </si>
  <si>
    <t>SAI2_TX_SYNC</t>
  </si>
  <si>
    <t>SEMC_DATA06</t>
  </si>
  <si>
    <t>FLEXIO1_FLEXIO06</t>
  </si>
  <si>
    <t>XBAR1_INOUT08</t>
  </si>
  <si>
    <t>SAI2_TX_BCLK</t>
  </si>
  <si>
    <t>FLEXPWM2_PWMA00</t>
  </si>
  <si>
    <t>SEMC_DATA07</t>
  </si>
  <si>
    <t>XBAR1_INOUT09</t>
  </si>
  <si>
    <t>FLEXIO1_FLEXIO07</t>
  </si>
  <si>
    <t>GPIO4_IO06</t>
  </si>
  <si>
    <t>GPIO4_IO07</t>
  </si>
  <si>
    <t>FLEXPWM2_PWMB00</t>
  </si>
  <si>
    <t>SAI2_MCLK</t>
  </si>
  <si>
    <t>SEMC_DM00</t>
  </si>
  <si>
    <t>FLEXPWM2_PWMA01</t>
  </si>
  <si>
    <t>SAI2_RX_DATA</t>
  </si>
  <si>
    <t>FLEXIO1_FLEXIO08</t>
  </si>
  <si>
    <t>GPIO4_IO08</t>
  </si>
  <si>
    <t>SEMC_BA1</t>
  </si>
  <si>
    <t>FLEXPWM3_PWMB03</t>
  </si>
  <si>
    <t>ENET_TDATA00</t>
  </si>
  <si>
    <t>QTIMER2_TIMER3</t>
  </si>
  <si>
    <t>GPIO4_IO22</t>
  </si>
  <si>
    <t>FLEXSPI2_A_SS1_B of</t>
  </si>
  <si>
    <t>SEMC_CAS</t>
  </si>
  <si>
    <t>FLEXPWM1_PWMB00</t>
  </si>
  <si>
    <t>ENET_TX_EN</t>
  </si>
  <si>
    <t>GPT1_CAPTURE1</t>
  </si>
  <si>
    <t>SEMC_RAS</t>
  </si>
  <si>
    <t>FLEXPWM1_PWMA01</t>
  </si>
  <si>
    <t>ENET_TX_CLK</t>
  </si>
  <si>
    <t>ENET_REF_CLK</t>
  </si>
  <si>
    <t>GPIO4_IO24</t>
  </si>
  <si>
    <t>GPIO4_IO25</t>
  </si>
  <si>
    <t>GPIO4_IO27</t>
  </si>
  <si>
    <t>SEMC_CLK</t>
  </si>
  <si>
    <t>FLEXPWM1_PWMB01</t>
  </si>
  <si>
    <t>ENET_RX_ER</t>
  </si>
  <si>
    <t>FLEXIO1_FLEXIO12</t>
  </si>
  <si>
    <t>GPIO4_IO26</t>
  </si>
  <si>
    <t>GPIO4_IO28</t>
  </si>
  <si>
    <t>GPIO4_IO29</t>
  </si>
  <si>
    <t>FLEXSPI2_A_DATA01</t>
  </si>
  <si>
    <t>FLEXIO1_FLEXIO13</t>
  </si>
  <si>
    <t>LPSPI1_SCK</t>
  </si>
  <si>
    <t>LPUART5_RTS_B</t>
  </si>
  <si>
    <t>FLEXPWM1_PWMA02</t>
  </si>
  <si>
    <t>SEMC_CKE</t>
  </si>
  <si>
    <t>SEMC_WE</t>
  </si>
  <si>
    <t>FLEXPWM1_PWMB02</t>
  </si>
  <si>
    <t>LPUART5_CTS_B</t>
  </si>
  <si>
    <t>LPSPI1_SDO</t>
  </si>
  <si>
    <t>FLEXIO1_FLEXIO14</t>
  </si>
  <si>
    <t>FLEXSPI2_A_DATA02</t>
  </si>
  <si>
    <t>FLEXSPI2_A_DATA03</t>
  </si>
  <si>
    <t>FLEXIO1_FLEXIO15</t>
  </si>
  <si>
    <t>SEMC_CS0</t>
  </si>
  <si>
    <t>FLEXPWM3_PWMA00</t>
  </si>
  <si>
    <t>LPUART6_RTS_B</t>
  </si>
  <si>
    <t>LPSPI1_SDI</t>
  </si>
  <si>
    <t>SEMC_DATA09</t>
  </si>
  <si>
    <t>FLEXPWM3_PWMA01</t>
  </si>
  <si>
    <t>LPUART7_TX</t>
  </si>
  <si>
    <t>LPSPI1_PCS1</t>
  </si>
  <si>
    <t>CSI_DATA22</t>
  </si>
  <si>
    <t>GPIO4_IO31</t>
  </si>
  <si>
    <t>ENET2_TDATA01</t>
  </si>
  <si>
    <t>SEMC_DATA10</t>
  </si>
  <si>
    <t>FLEXPWM3_PWMB01</t>
  </si>
  <si>
    <t>LPUART7_RX</t>
  </si>
  <si>
    <t>CCM_PMIC_RDY</t>
  </si>
  <si>
    <t>CSI_DATA21</t>
  </si>
  <si>
    <t>GPIO3_IO18</t>
  </si>
  <si>
    <t>ENET2_TX_EN</t>
  </si>
  <si>
    <t>SEMC_DATA14</t>
  </si>
  <si>
    <t>XBAR1_IN22</t>
  </si>
  <si>
    <t>GPT1_COMPARE2</t>
  </si>
  <si>
    <t>SAI3_TX_DATA</t>
  </si>
  <si>
    <t>CSI_DATA17</t>
  </si>
  <si>
    <t>GPIO3_IO22</t>
  </si>
  <si>
    <t>FLEXCAN3_TX</t>
  </si>
  <si>
    <t>SEMC_DATA15</t>
  </si>
  <si>
    <t>XBAR1_IN23</t>
  </si>
  <si>
    <t>GPT1_COMPARE3</t>
  </si>
  <si>
    <t>SAI3_MCLK</t>
  </si>
  <si>
    <t>CSI_DATA16</t>
  </si>
  <si>
    <t>GPIO3_IO23</t>
  </si>
  <si>
    <t>FLEXCAN3_RX</t>
  </si>
  <si>
    <t>USDHC1_CMD</t>
  </si>
  <si>
    <t>FLEXPWM1_PWMA00</t>
  </si>
  <si>
    <t>XBAR1_INOUT04</t>
  </si>
  <si>
    <t>GPIO3_IO12</t>
  </si>
  <si>
    <t>USDHC1_CLK</t>
  </si>
  <si>
    <t>XBAR1_INOUT05</t>
  </si>
  <si>
    <t>LPSPI1_PCS0</t>
  </si>
  <si>
    <t>GPIO3_IO13</t>
  </si>
  <si>
    <t>FLEXSPIB_SS1_B</t>
  </si>
  <si>
    <t>ENET2_TX_CLK</t>
  </si>
  <si>
    <t>ENET2_REF_CLK2</t>
  </si>
  <si>
    <t>USDHC1_DATA0</t>
  </si>
  <si>
    <t>LPUART8_CTS_B</t>
  </si>
  <si>
    <t>GPIO3_IO14</t>
  </si>
  <si>
    <t>SEMC_CLK5</t>
  </si>
  <si>
    <t>USDHC1_DATA1</t>
  </si>
  <si>
    <t>LPUART8_RTS_B</t>
  </si>
  <si>
    <t>GPIO3_IO15</t>
  </si>
  <si>
    <t>SEMC_CLK6</t>
  </si>
  <si>
    <t>USDHC1_DATA2</t>
  </si>
  <si>
    <t>GPIO3_IO16</t>
  </si>
  <si>
    <t>FLEXSPIB_SS0_B</t>
  </si>
  <si>
    <t>CCM_CLKO1</t>
  </si>
  <si>
    <t>CCM_CLKO2</t>
  </si>
  <si>
    <t>GPIO3_IO17</t>
  </si>
  <si>
    <t>FLEXSPIB_DQS</t>
  </si>
  <si>
    <t>USDHC1_DATA3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</si>
  <si>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</si>
  <si>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</si>
  <si>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</si>
  <si>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</si>
  <si>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</si>
  <si>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</si>
  <si>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</si>
  <si>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</si>
  <si>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</si>
  <si>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</si>
  <si>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</si>
  <si>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</si>
  <si>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IOMUXC_xxx_SELECT_INPUT</t>
  </si>
  <si>
    <t>IOMUXC_XBAR1_IN17_SELECT_INPUT=0x1</t>
  </si>
  <si>
    <t>IOMUXC_XBAR1_IN06_SELECT_INPUT=0x0</t>
  </si>
  <si>
    <t>IOMUXC_XBAR1_IN07_SELECT_INPUT=0x0</t>
  </si>
  <si>
    <t>IOMUXC_XBAR1_IN08_SELECT_INPUT=0x0</t>
  </si>
  <si>
    <t>IOMUXC_XBAR1_IN17_SELECT_INPUT=0x0</t>
  </si>
  <si>
    <t>IOMUXC_XBAR1_IN22_SELECT_INPUT=0x0</t>
  </si>
  <si>
    <t>IOMUXC_XBAR1_IN23_SELECT_INPUT=0x0</t>
  </si>
  <si>
    <t>IOMUXC_XBAR1_IN09_SELECT_INPUT=0x0</t>
  </si>
  <si>
    <t>IOMUXC_XBAR1_IN17_SELECT_INPUT=0x3</t>
  </si>
  <si>
    <t>IOMUXC_XBAR1_IN07_SELECT_INPUT=0x1</t>
  </si>
  <si>
    <t>IOMUXC_XBAR1_IN06_SELECT_INPUT=0x1</t>
  </si>
  <si>
    <t>IOMUXC_XBAR1_IN04_SELECT_INPUT=0x1</t>
  </si>
  <si>
    <t>IOMUXC_XBAR1_IN05_SELECT_INPUT=0x1</t>
  </si>
  <si>
    <t>IOMUXC_XBAR1_IN09_SELECT_INPUT=0x1</t>
  </si>
  <si>
    <t>IOMUXC_XBAR1_IN08_SELECT_INPUT=0x1</t>
  </si>
  <si>
    <t>IOMUXC_LPUART6_RX_SELECT_INPUT=1</t>
  </si>
  <si>
    <t>IOMUXC_LPUART6_TX_SELECT_INPUT=1</t>
  </si>
  <si>
    <t>IOMUXC_LPUART6_RX_SELECT_INPUT=0</t>
  </si>
  <si>
    <t>IOMUXC_LPUART6_TX_SELECT_INPUT=0</t>
  </si>
  <si>
    <t>IOMUXC_LPUART4_RX_SELECT_INPUT=2</t>
  </si>
  <si>
    <t>IOMUXC_LPUART4_TX_SELECT_INPUT=2</t>
  </si>
  <si>
    <t>IOMUXC_LPUART2_TX_SELECT_INPUT=1</t>
  </si>
  <si>
    <t>IOMUXC_LPUART2_RX_SELECT_INPUT=1</t>
  </si>
  <si>
    <t>IOMUXC_LPUART3_RX_SELECT_INPUT=0</t>
  </si>
  <si>
    <t>IOMUXC_LPUART3_TX_SELECT_INPUT=0</t>
  </si>
  <si>
    <t>IOMUXC_LPUART8_TX_SELECT_INPUT=1</t>
  </si>
  <si>
    <t>IOMUXC_LPUART8_RX_SELECT_INPUT=1</t>
  </si>
  <si>
    <t>IOMUXC_LPUART8_RX_SELECT_INPUT=0</t>
  </si>
  <si>
    <t>IOMUXC_LPUART8_TX_SELECT_INPUT=0</t>
  </si>
  <si>
    <t>IOMUXC_LPUART7_RX_SELECT_INPUT=1</t>
  </si>
  <si>
    <t>OMUXC_LPUART7_TX_SELECT_INPUT=1</t>
  </si>
  <si>
    <t>IOMUXC_LPUART5_RX_SELECT_INPUT=1</t>
  </si>
  <si>
    <t>IOMUXC_LPUART5_TX_SELECT_INPUT=1</t>
  </si>
  <si>
    <t>IOMUXC_LPUART5_RX_SELECT_INPUT=0</t>
  </si>
  <si>
    <t>IOMUXC_FLEXSPI2_IPP_IND_IO_FA_BIT0_SELECT_INPUT = 1</t>
  </si>
  <si>
    <t>IOMUXC_FLEXSPI2_IPP_IND_IO_FA_BIT1_SELECT_INPUT = 1</t>
  </si>
  <si>
    <t>IOMUXC_FLEXSPI2_IPP_IND_IO_FA_BIT2_SELECT_INPUT = 1</t>
  </si>
  <si>
    <t>IOMUXC_FLEXSPI2_IPP_IND_IO_FA_BIT3_SELECT_INPUT = 1</t>
  </si>
  <si>
    <t>IOMUXC_FLEXSPI2_IPP_IND_SCK_FA_SELECT_INPUT = 1</t>
  </si>
  <si>
    <t>LCD_DATA00</t>
  </si>
  <si>
    <t>QTIMER2_TIMER1</t>
  </si>
  <si>
    <t>LPI2C2_SCL</t>
  </si>
  <si>
    <t>ARM_TRACE0</t>
  </si>
  <si>
    <t>FLEXIO2_FLEXIO04</t>
  </si>
  <si>
    <t>GPIO2_IO04</t>
  </si>
  <si>
    <t>SRC_BOOT_CFG00</t>
  </si>
  <si>
    <t>ENET2_TDATA03</t>
  </si>
  <si>
    <t>LCD_DATA01</t>
  </si>
  <si>
    <t>QTIMER2_TIMER2</t>
  </si>
  <si>
    <t>ARM_TRACE1</t>
  </si>
  <si>
    <t>FLEXIO2_FLEXIO05</t>
  </si>
  <si>
    <t>GPIO2_IO05</t>
  </si>
  <si>
    <t>SRC_BOOT_CFG01</t>
  </si>
  <si>
    <t>ENET2_TDATA02</t>
  </si>
  <si>
    <t>LCD_DATA02</t>
  </si>
  <si>
    <t>ARM_TRACE2</t>
  </si>
  <si>
    <t>FLEXIO2_FLEXIO06</t>
  </si>
  <si>
    <t>GPIO2_IO06</t>
  </si>
  <si>
    <t>SRC_BOOT_CFG02</t>
  </si>
  <si>
    <t>ENET2_RX_CLK</t>
  </si>
  <si>
    <t>LCD_DATA03</t>
  </si>
  <si>
    <t>FLEXPWM2_PWNB00</t>
  </si>
  <si>
    <t>ARM_TRACE3</t>
  </si>
  <si>
    <t>FLEXIO2_FLEXIO07</t>
  </si>
  <si>
    <t>FLEXIO2_FLEXIO08</t>
  </si>
  <si>
    <t>FLEXIO2_FLEXIO09</t>
  </si>
  <si>
    <t>GPIO2_IO07</t>
  </si>
  <si>
    <t>GPIO2_IO08</t>
  </si>
  <si>
    <t>GPIO2_IO09</t>
  </si>
  <si>
    <t>SRC_BOOT_CFG03</t>
  </si>
  <si>
    <t>ENET2_TX_ER</t>
  </si>
  <si>
    <t>LCD_DATA04</t>
  </si>
  <si>
    <t>LCD_DATA05</t>
  </si>
  <si>
    <t>SRC_BOOT_CFG04</t>
  </si>
  <si>
    <t>ENET2_RDATA03</t>
  </si>
  <si>
    <t>QTIMER4_TIMER0</t>
  </si>
  <si>
    <t>FLEXPWM2_PWMB01</t>
  </si>
  <si>
    <t>SRC_BOOT_CFG05</t>
  </si>
  <si>
    <t>ENET2_RDATA02</t>
  </si>
  <si>
    <t>LPI2C2_SDA</t>
  </si>
  <si>
    <t>MM Pin</t>
  </si>
  <si>
    <t>USB Pins</t>
  </si>
  <si>
    <t>HUSB D+</t>
  </si>
  <si>
    <t>USB D+</t>
  </si>
  <si>
    <t>3</t>
  </si>
  <si>
    <t>USB D-</t>
  </si>
  <si>
    <t>5</t>
  </si>
  <si>
    <t>HUSB D-</t>
  </si>
  <si>
    <t>58</t>
  </si>
  <si>
    <t>56</t>
  </si>
  <si>
    <t>14</t>
  </si>
  <si>
    <t>16</t>
  </si>
  <si>
    <t>60</t>
  </si>
  <si>
    <t>70</t>
  </si>
  <si>
    <t>20</t>
  </si>
  <si>
    <t>62</t>
  </si>
  <si>
    <t>64</t>
  </si>
  <si>
    <t>66</t>
  </si>
  <si>
    <t>68</t>
  </si>
  <si>
    <t>57</t>
  </si>
  <si>
    <t>59</t>
  </si>
  <si>
    <t>61</t>
  </si>
  <si>
    <t>55</t>
  </si>
  <si>
    <t>18</t>
  </si>
  <si>
    <t>17</t>
  </si>
  <si>
    <t>19</t>
  </si>
  <si>
    <t>69</t>
  </si>
  <si>
    <t>22</t>
  </si>
  <si>
    <t>73</t>
  </si>
  <si>
    <t>71</t>
  </si>
  <si>
    <t>67</t>
  </si>
  <si>
    <t>65</t>
  </si>
  <si>
    <t>63</t>
  </si>
  <si>
    <t>8</t>
  </si>
  <si>
    <t>4</t>
  </si>
  <si>
    <t>Machine Learning</t>
  </si>
  <si>
    <t>3.3V_EN</t>
  </si>
  <si>
    <t>USB_D-</t>
  </si>
  <si>
    <t>USB_D+</t>
  </si>
  <si>
    <t>D0</t>
  </si>
  <si>
    <t>I2C_SCL</t>
  </si>
  <si>
    <t>I2C_SDA</t>
  </si>
  <si>
    <t>CAMERA_INT</t>
  </si>
  <si>
    <t>HEADER_CS</t>
  </si>
  <si>
    <t>CAMERA_TRIG</t>
  </si>
  <si>
    <t>D1</t>
  </si>
  <si>
    <t>PWM0</t>
  </si>
  <si>
    <t>PWM1</t>
  </si>
  <si>
    <t>CAMERA_D0</t>
  </si>
  <si>
    <t>CAMERA_D1</t>
  </si>
  <si>
    <t>CAMERA_D2</t>
  </si>
  <si>
    <t>CAMERA_D3</t>
  </si>
  <si>
    <t>CAMERA_D4</t>
  </si>
  <si>
    <t>CAM_VDD</t>
  </si>
  <si>
    <t>BATT_VIN3</t>
  </si>
  <si>
    <t>I2S_SCK</t>
  </si>
  <si>
    <t>PDM_CLK</t>
  </si>
  <si>
    <t>I2S_WS</t>
  </si>
  <si>
    <t>PDM_DAT</t>
  </si>
  <si>
    <t>I2S_SD</t>
  </si>
  <si>
    <t>CAMERA_PCLK</t>
  </si>
  <si>
    <t>SPI_CS</t>
  </si>
  <si>
    <t>CAMERA_MCLK</t>
  </si>
  <si>
    <t>Machine 2nd use</t>
  </si>
  <si>
    <t>SPI_SCK</t>
  </si>
  <si>
    <t>SPI_SCOPI</t>
  </si>
  <si>
    <t>SPI_CIPO</t>
  </si>
  <si>
    <t>CAMERA_VSYNC</t>
  </si>
  <si>
    <t>CAMERA_HSYNC</t>
  </si>
  <si>
    <t>CAMERA_D7</t>
  </si>
  <si>
    <t>CAMERA_D6</t>
  </si>
  <si>
    <t>CAMERA_D5</t>
  </si>
  <si>
    <t>MM ATP</t>
  </si>
  <si>
    <t>G11</t>
  </si>
  <si>
    <t>I2C_INT#</t>
  </si>
  <si>
    <t>UART_TX1</t>
  </si>
  <si>
    <t>UART_RX1</t>
  </si>
  <si>
    <t>UART_RX2</t>
  </si>
  <si>
    <t>UART_TX2</t>
  </si>
  <si>
    <t>USBHOST_D+</t>
  </si>
  <si>
    <t>USBHOST_D-</t>
  </si>
  <si>
    <t>G0/BUS0</t>
  </si>
  <si>
    <t>CAN_RX</t>
  </si>
  <si>
    <t>G1/BUS1</t>
  </si>
  <si>
    <t>CAN_TX</t>
  </si>
  <si>
    <t>G2/BUS2</t>
  </si>
  <si>
    <t>G3/BUS3</t>
  </si>
  <si>
    <t>G4/BUS4</t>
  </si>
  <si>
    <t>AUD_BCLK</t>
  </si>
  <si>
    <t>I2C_SDA1</t>
  </si>
  <si>
    <t>AUD_LRCLK</t>
  </si>
  <si>
    <t>I2C_SCL1</t>
  </si>
  <si>
    <t>AUD_OUT</t>
  </si>
  <si>
    <t>AUD_IN</t>
  </si>
  <si>
    <t>AUD_MCLK</t>
  </si>
  <si>
    <t>SDIO_SCK</t>
  </si>
  <si>
    <t>SDIO_DATA1</t>
  </si>
  <si>
    <t>SDIO_DATA2</t>
  </si>
  <si>
    <t>SDIO_CMD</t>
  </si>
  <si>
    <t>G10</t>
  </si>
  <si>
    <t>G9</t>
  </si>
  <si>
    <t>G8</t>
  </si>
  <si>
    <t>G6/BUS6</t>
  </si>
  <si>
    <t>G7/BUS7</t>
  </si>
  <si>
    <t>G5/BUS5</t>
  </si>
  <si>
    <t>SDIO_DATA3</t>
  </si>
  <si>
    <t>Wire3(2) SCL</t>
  </si>
  <si>
    <t>Wire3(2) SDA</t>
  </si>
  <si>
    <t>Serial4(4) RX</t>
  </si>
  <si>
    <t>Serial4(4) TX</t>
  </si>
  <si>
    <t>Serial2(3) RX</t>
  </si>
  <si>
    <t>Serial2(3) TX</t>
  </si>
  <si>
    <t>Wire2(3) SCL</t>
  </si>
  <si>
    <t>Wire2(3) SDA</t>
  </si>
  <si>
    <t>Wire1(4) SCL</t>
  </si>
  <si>
    <t>Wire1(4) SDA</t>
  </si>
  <si>
    <t>MM Func</t>
  </si>
  <si>
    <t>*</t>
  </si>
  <si>
    <t>FPE0</t>
  </si>
  <si>
    <t>FPE1</t>
  </si>
  <si>
    <t>FNCS1</t>
  </si>
  <si>
    <t>FNCS0</t>
  </si>
  <si>
    <t>*0</t>
  </si>
  <si>
    <t>CAN-RX</t>
  </si>
  <si>
    <t>CAN-TX</t>
  </si>
  <si>
    <t>CTS</t>
  </si>
  <si>
    <t>EEPROM_A0</t>
  </si>
  <si>
    <t>EEPROM_A1</t>
  </si>
  <si>
    <t>EEPROM_A2</t>
  </si>
  <si>
    <t>EEPROM_WP</t>
  </si>
  <si>
    <t>F0/!INT!</t>
  </si>
  <si>
    <t>F1/!CS!</t>
  </si>
  <si>
    <t>F2/PWM</t>
  </si>
  <si>
    <t>F3</t>
  </si>
  <si>
    <t>F4</t>
  </si>
  <si>
    <t>F5</t>
  </si>
  <si>
    <t>F6</t>
  </si>
  <si>
    <t>F7</t>
  </si>
  <si>
    <t>I2C_!INT!</t>
  </si>
  <si>
    <t>PWR_EN</t>
  </si>
  <si>
    <t>RTS</t>
  </si>
  <si>
    <t>RX</t>
  </si>
  <si>
    <t>SPI_SDI</t>
  </si>
  <si>
    <t>SPI_SDO</t>
  </si>
  <si>
    <t>TX</t>
  </si>
  <si>
    <t>USB_VIN</t>
  </si>
  <si>
    <t>VCC</t>
  </si>
  <si>
    <t>F Pin</t>
  </si>
  <si>
    <t>Function name</t>
  </si>
  <si>
    <t>F0 Teensy pin</t>
  </si>
  <si>
    <t>F1 Teensy Pin</t>
  </si>
  <si>
    <t>USB Host D+</t>
  </si>
  <si>
    <t>D-</t>
  </si>
  <si>
    <t>NC</t>
  </si>
  <si>
    <t>0v</t>
  </si>
  <si>
    <t>3.3v</t>
  </si>
  <si>
    <t>J9</t>
  </si>
  <si>
    <t>J11</t>
  </si>
  <si>
    <t>44 (SD CS)</t>
  </si>
  <si>
    <t>(Teensy NC)</t>
  </si>
  <si>
    <t>OV767X Shield</t>
  </si>
  <si>
    <t>TFT_RST</t>
  </si>
  <si>
    <t>TFT_BACKLIGHT</t>
  </si>
  <si>
    <t>TFT_DC</t>
  </si>
  <si>
    <t>TFT_CS</t>
  </si>
  <si>
    <t>AUDIO</t>
  </si>
  <si>
    <t>SPI_MOSI</t>
  </si>
  <si>
    <t>SPI_MISO</t>
  </si>
  <si>
    <t>SPI_CLK</t>
  </si>
  <si>
    <t>WIRE(CAM/AUD)</t>
  </si>
  <si>
    <t>TOUCH_CS</t>
  </si>
  <si>
    <t>TOUCH_IRQ</t>
  </si>
  <si>
    <t>CAMERA_PDN</t>
  </si>
  <si>
    <t>CAMERA_PEN</t>
  </si>
  <si>
    <t>SDIO</t>
  </si>
  <si>
    <t>05</t>
  </si>
  <si>
    <t>06</t>
  </si>
  <si>
    <t>07</t>
  </si>
  <si>
    <t>08</t>
  </si>
  <si>
    <t>00</t>
  </si>
  <si>
    <t>01</t>
  </si>
  <si>
    <t>02</t>
  </si>
  <si>
    <t>03</t>
  </si>
  <si>
    <t>04</t>
  </si>
  <si>
    <t>09</t>
  </si>
  <si>
    <t>3.3V_EN(no edge pin)</t>
  </si>
  <si>
    <t>&lt;NO EDGE PIN&gt;</t>
  </si>
  <si>
    <t>TFT_ADA_CS_SD</t>
  </si>
  <si>
    <t>FLEXPWM4_PWMB02</t>
  </si>
  <si>
    <t>MMOD</t>
  </si>
  <si>
    <t>Teensy4</t>
  </si>
  <si>
    <t>T4.1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</si>
</sst>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10"/>
      <color rgb="FF00B050"/>
      <name val="Arial Unicode MS"/>
    </font>
    <font>
      <sz val="10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950E"/>
        <bgColor rgb="FFFF950E"/>
      </patternFill>
    </fill>
    <fill>
      <patternFill patternType="solid">
        <fgColor rgb="FF80E5FF"/>
        <bgColor rgb="FF80E5FF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9FCC78"/>
        <bgColor rgb="FF9FCC78"/>
      </patternFill>
    </fill>
    <fill>
      <patternFill patternType="solid">
        <fgColor rgb="FFCFE7F5"/>
        <bgColor rgb="FFCFE7F5"/>
      </patternFill>
    </fill>
    <fill>
      <patternFill patternType="solid">
        <fgColor rgb="FFF2D085"/>
        <bgColor rgb="FFF2D085"/>
      </patternFill>
    </fill>
    <fill>
      <patternFill patternType="solid">
        <fgColor rgb="FFFF9999"/>
        <bgColor rgb="FFFF9999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CFE7F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rgb="FFF2D085"/>
      </patternFill>
    </fill>
    <fill>
      <patternFill patternType="solid">
        <fgColor theme="0"/>
        <bgColor rgb="FFF2D0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50E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rgb="FF9966CC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9966CC"/>
      </patternFill>
    </fill>
    <fill>
      <patternFill patternType="solid">
        <fgColor rgb="FF61D6FF"/>
        <bgColor indexed="64"/>
      </patternFill>
    </fill>
    <fill>
      <patternFill patternType="solid">
        <fgColor rgb="FF61D6FF"/>
        <bgColor rgb="FF80E5FF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7F8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15C2FF"/>
        <bgColor indexed="64"/>
      </patternFill>
    </fill>
    <fill>
      <patternFill patternType="solid">
        <fgColor theme="4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/>
  </cellStyleXfs>
  <cellXfs count="240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5" fillId="0" borderId="0" xfId="0" applyNumberFormat="1" applyFon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49" fontId="5" fillId="0" borderId="2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3" xfId="0" applyNumberFormat="1" applyFont="1" applyFill="1" applyBorder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3" xfId="0" applyNumberFormat="1" applyFont="1" applyFill="1" applyBorder="1"/>
    <xf numFmtId="49" fontId="4" fillId="0" borderId="2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4" xfId="1" applyFont="1" applyBorder="1" applyAlignment="1">
      <alignment horizontal="center" vertical="center" textRotation="90"/>
    </xf>
    <xf numFmtId="0" fontId="9" fillId="0" borderId="4" xfId="1" applyFont="1" applyBorder="1" applyAlignment="1">
      <alignment horizontal="center" textRotation="90"/>
    </xf>
    <xf numFmtId="0" fontId="9" fillId="5" borderId="4" xfId="1" applyFont="1" applyFill="1" applyBorder="1" applyAlignment="1">
      <alignment horizontal="center" textRotation="90"/>
    </xf>
    <xf numFmtId="0" fontId="9" fillId="6" borderId="4" xfId="1" applyFont="1" applyFill="1" applyBorder="1" applyAlignment="1">
      <alignment horizontal="center" textRotation="90"/>
    </xf>
    <xf numFmtId="0" fontId="9" fillId="7" borderId="4" xfId="1" applyFont="1" applyFill="1" applyBorder="1" applyAlignment="1">
      <alignment horizontal="center" textRotation="90"/>
    </xf>
    <xf numFmtId="0" fontId="9" fillId="8" borderId="4" xfId="1" applyFont="1" applyFill="1" applyBorder="1" applyAlignment="1">
      <alignment horizontal="center" textRotation="90"/>
    </xf>
    <xf numFmtId="0" fontId="9" fillId="9" borderId="4" xfId="1" applyFont="1" applyFill="1" applyBorder="1" applyAlignment="1">
      <alignment horizontal="center" textRotation="90"/>
    </xf>
    <xf numFmtId="0" fontId="9" fillId="10" borderId="4" xfId="1" applyFont="1" applyFill="1" applyBorder="1" applyAlignment="1">
      <alignment horizontal="center" textRotation="90"/>
    </xf>
    <xf numFmtId="0" fontId="9" fillId="11" borderId="4" xfId="1" applyFont="1" applyFill="1" applyBorder="1" applyAlignment="1">
      <alignment textRotation="90"/>
    </xf>
    <xf numFmtId="0" fontId="9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9" fillId="7" borderId="4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9" fillId="11" borderId="4" xfId="1" applyFont="1" applyFill="1" applyBorder="1" applyAlignment="1">
      <alignment vertical="center"/>
    </xf>
    <xf numFmtId="0" fontId="9" fillId="10" borderId="4" xfId="1" applyFont="1" applyFill="1" applyBorder="1" applyAlignment="1">
      <alignment horizontal="center" vertical="center"/>
    </xf>
    <xf numFmtId="0" fontId="9" fillId="11" borderId="4" xfId="1" applyFont="1" applyFill="1" applyBorder="1" applyAlignment="1">
      <alignment horizontal="left" vertical="center"/>
    </xf>
    <xf numFmtId="0" fontId="9" fillId="9" borderId="4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13" borderId="4" xfId="1" applyFont="1" applyFill="1" applyBorder="1" applyAlignment="1">
      <alignment horizontal="center" vertical="center"/>
    </xf>
    <xf numFmtId="0" fontId="9" fillId="14" borderId="4" xfId="1" applyFont="1" applyFill="1" applyBorder="1" applyAlignment="1">
      <alignment horizontal="center" vertical="center"/>
    </xf>
    <xf numFmtId="0" fontId="9" fillId="15" borderId="4" xfId="1" applyFont="1" applyFill="1" applyBorder="1" applyAlignment="1">
      <alignment horizontal="left" vertical="center"/>
    </xf>
    <xf numFmtId="0" fontId="9" fillId="16" borderId="4" xfId="1" applyFont="1" applyFill="1" applyBorder="1" applyAlignment="1">
      <alignment horizontal="left" vertical="center"/>
    </xf>
    <xf numFmtId="20" fontId="9" fillId="0" borderId="4" xfId="1" applyNumberFormat="1" applyFont="1" applyBorder="1" applyAlignment="1">
      <alignment horizontal="center" vertical="center"/>
    </xf>
    <xf numFmtId="0" fontId="9" fillId="20" borderId="4" xfId="1" applyFont="1" applyFill="1" applyBorder="1" applyAlignment="1">
      <alignment horizontal="center" vertical="center"/>
    </xf>
    <xf numFmtId="20" fontId="9" fillId="20" borderId="4" xfId="1" applyNumberFormat="1" applyFont="1" applyFill="1" applyBorder="1" applyAlignment="1">
      <alignment horizontal="center" vertical="center"/>
    </xf>
    <xf numFmtId="0" fontId="9" fillId="21" borderId="4" xfId="1" applyFont="1" applyFill="1" applyBorder="1" applyAlignment="1">
      <alignment horizontal="center" vertical="center"/>
    </xf>
    <xf numFmtId="0" fontId="9" fillId="22" borderId="4" xfId="1" applyFont="1" applyFill="1" applyBorder="1" applyAlignment="1">
      <alignment horizontal="center" textRotation="90"/>
    </xf>
    <xf numFmtId="0" fontId="9" fillId="22" borderId="4" xfId="1" applyFont="1" applyFill="1" applyBorder="1" applyAlignment="1">
      <alignment horizontal="center" vertical="center"/>
    </xf>
    <xf numFmtId="0" fontId="9" fillId="23" borderId="4" xfId="1" applyFont="1" applyFill="1" applyBorder="1" applyAlignment="1">
      <alignment horizontal="center" vertical="center"/>
    </xf>
    <xf numFmtId="0" fontId="9" fillId="24" borderId="4" xfId="1" applyFont="1" applyFill="1" applyBorder="1" applyAlignment="1">
      <alignment horizontal="center" textRotation="90"/>
    </xf>
    <xf numFmtId="0" fontId="9" fillId="25" borderId="4" xfId="1" applyFont="1" applyFill="1" applyBorder="1" applyAlignment="1">
      <alignment horizontal="center" textRotation="90"/>
    </xf>
    <xf numFmtId="0" fontId="9" fillId="26" borderId="4" xfId="1" applyFont="1" applyFill="1" applyBorder="1" applyAlignment="1">
      <alignment horizontal="center" vertical="center"/>
    </xf>
    <xf numFmtId="0" fontId="9" fillId="27" borderId="4" xfId="1" applyFont="1" applyFill="1" applyBorder="1" applyAlignment="1">
      <alignment horizontal="center" textRotation="90"/>
    </xf>
    <xf numFmtId="0" fontId="9" fillId="27" borderId="4" xfId="1" applyFont="1" applyFill="1" applyBorder="1" applyAlignment="1">
      <alignment horizontal="center" vertical="center"/>
    </xf>
    <xf numFmtId="0" fontId="9" fillId="28" borderId="4" xfId="1" applyFont="1" applyFill="1" applyBorder="1" applyAlignment="1">
      <alignment horizontal="center" vertical="center"/>
    </xf>
    <xf numFmtId="0" fontId="11" fillId="28" borderId="4" xfId="1" applyFont="1" applyFill="1" applyBorder="1" applyAlignment="1">
      <alignment horizontal="center" vertical="center"/>
    </xf>
    <xf numFmtId="0" fontId="12" fillId="0" borderId="0" xfId="0" applyFont="1"/>
    <xf numFmtId="0" fontId="9" fillId="0" borderId="4" xfId="0" applyFont="1" applyBorder="1"/>
    <xf numFmtId="0" fontId="0" fillId="0" borderId="4" xfId="0" applyBorder="1"/>
    <xf numFmtId="0" fontId="9" fillId="33" borderId="4" xfId="0" applyFont="1" applyFill="1" applyBorder="1"/>
    <xf numFmtId="0" fontId="9" fillId="23" borderId="4" xfId="0" applyFont="1" applyFill="1" applyBorder="1"/>
    <xf numFmtId="0" fontId="9" fillId="28" borderId="4" xfId="0" applyFont="1" applyFill="1" applyBorder="1"/>
    <xf numFmtId="0" fontId="9" fillId="32" borderId="4" xfId="0" applyFont="1" applyFill="1" applyBorder="1"/>
    <xf numFmtId="0" fontId="9" fillId="31" borderId="4" xfId="0" applyFont="1" applyFill="1" applyBorder="1"/>
    <xf numFmtId="0" fontId="12" fillId="0" borderId="4" xfId="0" applyFont="1" applyBorder="1"/>
    <xf numFmtId="0" fontId="9" fillId="17" borderId="4" xfId="0" applyFont="1" applyFill="1" applyBorder="1"/>
    <xf numFmtId="49" fontId="9" fillId="0" borderId="4" xfId="0" applyNumberFormat="1" applyFont="1" applyBorder="1"/>
    <xf numFmtId="0" fontId="12" fillId="28" borderId="4" xfId="0" applyFont="1" applyFill="1" applyBorder="1"/>
    <xf numFmtId="0" fontId="12" fillId="23" borderId="4" xfId="0" applyFont="1" applyFill="1" applyBorder="1"/>
    <xf numFmtId="0" fontId="12" fillId="33" borderId="4" xfId="0" applyFont="1" applyFill="1" applyBorder="1"/>
    <xf numFmtId="0" fontId="12" fillId="32" borderId="4" xfId="0" applyFont="1" applyFill="1" applyBorder="1"/>
    <xf numFmtId="20" fontId="9" fillId="20" borderId="4" xfId="0" applyNumberFormat="1" applyFont="1" applyFill="1" applyBorder="1"/>
    <xf numFmtId="0" fontId="11" fillId="14" borderId="4" xfId="0" applyFont="1" applyFill="1" applyBorder="1"/>
    <xf numFmtId="0" fontId="9" fillId="29" borderId="4" xfId="0" applyFont="1" applyFill="1" applyBorder="1"/>
    <xf numFmtId="0" fontId="9" fillId="14" borderId="4" xfId="0" applyFont="1" applyFill="1" applyBorder="1"/>
    <xf numFmtId="0" fontId="11" fillId="28" borderId="4" xfId="0" applyFont="1" applyFill="1" applyBorder="1"/>
    <xf numFmtId="0" fontId="11" fillId="30" borderId="4" xfId="0" applyFont="1" applyFill="1" applyBorder="1"/>
    <xf numFmtId="0" fontId="9" fillId="11" borderId="4" xfId="1" applyFont="1" applyFill="1" applyBorder="1" applyAlignment="1">
      <alignment horizontal="center" vertical="center"/>
    </xf>
    <xf numFmtId="49" fontId="9" fillId="3" borderId="4" xfId="1" applyNumberFormat="1" applyFont="1" applyFill="1" applyBorder="1" applyAlignment="1">
      <alignment horizontal="center" textRotation="90"/>
    </xf>
    <xf numFmtId="49" fontId="9" fillId="18" borderId="4" xfId="1" applyNumberFormat="1" applyFont="1" applyFill="1" applyBorder="1" applyAlignment="1">
      <alignment horizontal="center" vertical="center"/>
    </xf>
    <xf numFmtId="49" fontId="9" fillId="19" borderId="4" xfId="1" applyNumberFormat="1" applyFont="1" applyFill="1" applyBorder="1" applyAlignment="1">
      <alignment horizontal="center" vertical="center"/>
    </xf>
    <xf numFmtId="49" fontId="12" fillId="0" borderId="4" xfId="0" applyNumberFormat="1" applyFont="1" applyBorder="1"/>
    <xf numFmtId="49" fontId="0" fillId="0" borderId="4" xfId="0" applyNumberFormat="1" applyBorder="1"/>
    <xf numFmtId="49" fontId="9" fillId="0" borderId="4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textRotation="90"/>
    </xf>
    <xf numFmtId="0" fontId="9" fillId="0" borderId="6" xfId="1" applyFont="1" applyBorder="1" applyAlignment="1">
      <alignment horizontal="center" textRotation="90"/>
    </xf>
    <xf numFmtId="49" fontId="9" fillId="3" borderId="6" xfId="1" applyNumberFormat="1" applyFont="1" applyFill="1" applyBorder="1" applyAlignment="1">
      <alignment horizontal="center" textRotation="90"/>
    </xf>
    <xf numFmtId="0" fontId="9" fillId="27" borderId="6" xfId="1" applyFont="1" applyFill="1" applyBorder="1" applyAlignment="1">
      <alignment horizontal="center" textRotation="90"/>
    </xf>
    <xf numFmtId="0" fontId="9" fillId="5" borderId="6" xfId="1" applyFont="1" applyFill="1" applyBorder="1" applyAlignment="1">
      <alignment horizontal="center" textRotation="90"/>
    </xf>
    <xf numFmtId="0" fontId="9" fillId="24" borderId="6" xfId="1" applyFont="1" applyFill="1" applyBorder="1" applyAlignment="1">
      <alignment horizontal="center" textRotation="90"/>
    </xf>
    <xf numFmtId="0" fontId="9" fillId="22" borderId="6" xfId="1" applyFont="1" applyFill="1" applyBorder="1" applyAlignment="1">
      <alignment horizontal="center" textRotation="90"/>
    </xf>
    <xf numFmtId="0" fontId="9" fillId="6" borderId="6" xfId="1" applyFont="1" applyFill="1" applyBorder="1" applyAlignment="1">
      <alignment horizontal="center" textRotation="90"/>
    </xf>
    <xf numFmtId="0" fontId="9" fillId="7" borderId="6" xfId="1" applyFont="1" applyFill="1" applyBorder="1" applyAlignment="1">
      <alignment horizontal="center" textRotation="90"/>
    </xf>
    <xf numFmtId="0" fontId="9" fillId="8" borderId="6" xfId="1" applyFont="1" applyFill="1" applyBorder="1" applyAlignment="1">
      <alignment horizontal="center" textRotation="90"/>
    </xf>
    <xf numFmtId="0" fontId="9" fillId="9" borderId="6" xfId="1" applyFont="1" applyFill="1" applyBorder="1" applyAlignment="1">
      <alignment horizontal="center" textRotation="90"/>
    </xf>
    <xf numFmtId="0" fontId="9" fillId="10" borderId="6" xfId="1" applyFont="1" applyFill="1" applyBorder="1" applyAlignment="1">
      <alignment horizontal="center" textRotation="90"/>
    </xf>
    <xf numFmtId="0" fontId="9" fillId="11" borderId="6" xfId="1" applyFont="1" applyFill="1" applyBorder="1" applyAlignment="1">
      <alignment textRotation="90"/>
    </xf>
    <xf numFmtId="0" fontId="9" fillId="25" borderId="6" xfId="1" applyFont="1" applyFill="1" applyBorder="1" applyAlignment="1">
      <alignment horizontal="center" textRotation="90"/>
    </xf>
    <xf numFmtId="0" fontId="9" fillId="0" borderId="5" xfId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0" fontId="9" fillId="23" borderId="5" xfId="1" applyFont="1" applyFill="1" applyBorder="1" applyAlignment="1">
      <alignment horizontal="center" vertical="center"/>
    </xf>
    <xf numFmtId="0" fontId="9" fillId="0" borderId="5" xfId="1" applyFont="1" applyBorder="1" applyAlignment="1">
      <alignment vertical="center"/>
    </xf>
    <xf numFmtId="49" fontId="9" fillId="18" borderId="5" xfId="1" applyNumberFormat="1" applyFont="1" applyFill="1" applyBorder="1" applyAlignment="1">
      <alignment horizontal="center" vertical="center"/>
    </xf>
    <xf numFmtId="0" fontId="9" fillId="21" borderId="5" xfId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9" fillId="11" borderId="5" xfId="1" applyFont="1" applyFill="1" applyBorder="1" applyAlignment="1">
      <alignment vertical="center"/>
    </xf>
    <xf numFmtId="0" fontId="9" fillId="26" borderId="5" xfId="1" applyFont="1" applyFill="1" applyBorder="1" applyAlignment="1">
      <alignment horizontal="center" vertical="center"/>
    </xf>
    <xf numFmtId="0" fontId="9" fillId="20" borderId="5" xfId="1" applyFont="1" applyFill="1" applyBorder="1" applyAlignment="1">
      <alignment horizontal="center" vertical="center"/>
    </xf>
    <xf numFmtId="0" fontId="9" fillId="10" borderId="5" xfId="1" applyFont="1" applyFill="1" applyBorder="1" applyAlignment="1">
      <alignment horizontal="center" vertical="center"/>
    </xf>
    <xf numFmtId="0" fontId="9" fillId="11" borderId="5" xfId="1" applyFont="1" applyFill="1" applyBorder="1" applyAlignment="1">
      <alignment horizontal="left" vertical="center"/>
    </xf>
    <xf numFmtId="0" fontId="9" fillId="9" borderId="5" xfId="1" applyFont="1" applyFill="1" applyBorder="1" applyAlignment="1">
      <alignment horizontal="center" vertical="center"/>
    </xf>
    <xf numFmtId="0" fontId="9" fillId="27" borderId="5" xfId="1" applyFont="1" applyFill="1" applyBorder="1" applyAlignment="1">
      <alignment horizontal="center" vertical="center"/>
    </xf>
    <xf numFmtId="49" fontId="9" fillId="19" borderId="5" xfId="1" applyNumberFormat="1" applyFont="1" applyFill="1" applyBorder="1" applyAlignment="1">
      <alignment horizontal="center" vertical="center"/>
    </xf>
    <xf numFmtId="20" fontId="9" fillId="20" borderId="5" xfId="1" applyNumberFormat="1" applyFont="1" applyFill="1" applyBorder="1" applyAlignment="1">
      <alignment horizontal="center" vertical="center"/>
    </xf>
    <xf numFmtId="0" fontId="0" fillId="0" borderId="5" xfId="0" applyBorder="1"/>
    <xf numFmtId="0" fontId="9" fillId="13" borderId="5" xfId="1" applyFont="1" applyFill="1" applyBorder="1" applyAlignment="1">
      <alignment horizontal="center" vertical="center"/>
    </xf>
    <xf numFmtId="0" fontId="9" fillId="14" borderId="5" xfId="1" applyFont="1" applyFill="1" applyBorder="1" applyAlignment="1">
      <alignment horizontal="center" vertical="center"/>
    </xf>
    <xf numFmtId="0" fontId="9" fillId="22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9" fillId="11" borderId="5" xfId="1" applyFont="1" applyFill="1" applyBorder="1" applyAlignment="1">
      <alignment horizontal="center" vertical="center"/>
    </xf>
    <xf numFmtId="0" fontId="9" fillId="16" borderId="5" xfId="1" applyFont="1" applyFill="1" applyBorder="1" applyAlignment="1">
      <alignment horizontal="left" vertical="center"/>
    </xf>
    <xf numFmtId="0" fontId="9" fillId="0" borderId="5" xfId="0" applyFont="1" applyBorder="1"/>
    <xf numFmtId="0" fontId="9" fillId="6" borderId="5" xfId="1" applyFont="1" applyFill="1" applyBorder="1" applyAlignment="1">
      <alignment horizontal="center" vertical="center"/>
    </xf>
    <xf numFmtId="49" fontId="9" fillId="0" borderId="5" xfId="0" applyNumberFormat="1" applyFont="1" applyBorder="1"/>
    <xf numFmtId="0" fontId="9" fillId="33" borderId="5" xfId="0" applyFont="1" applyFill="1" applyBorder="1"/>
    <xf numFmtId="0" fontId="9" fillId="23" borderId="5" xfId="0" applyFont="1" applyFill="1" applyBorder="1"/>
    <xf numFmtId="0" fontId="9" fillId="28" borderId="5" xfId="0" applyFont="1" applyFill="1" applyBorder="1"/>
    <xf numFmtId="0" fontId="9" fillId="31" borderId="5" xfId="0" applyFont="1" applyFill="1" applyBorder="1"/>
    <xf numFmtId="0" fontId="12" fillId="0" borderId="5" xfId="0" applyFont="1" applyBorder="1"/>
    <xf numFmtId="0" fontId="9" fillId="17" borderId="5" xfId="0" applyFont="1" applyFill="1" applyBorder="1"/>
    <xf numFmtId="49" fontId="12" fillId="0" borderId="5" xfId="0" applyNumberFormat="1" applyFont="1" applyBorder="1"/>
    <xf numFmtId="0" fontId="12" fillId="33" borderId="5" xfId="0" applyFont="1" applyFill="1" applyBorder="1"/>
    <xf numFmtId="0" fontId="12" fillId="28" borderId="5" xfId="0" applyFont="1" applyFill="1" applyBorder="1"/>
    <xf numFmtId="49" fontId="0" fillId="0" borderId="5" xfId="0" applyNumberFormat="1" applyBorder="1"/>
    <xf numFmtId="0" fontId="12" fillId="23" borderId="5" xfId="0" applyFont="1" applyFill="1" applyBorder="1"/>
    <xf numFmtId="0" fontId="11" fillId="0" borderId="5" xfId="0" applyFont="1" applyBorder="1"/>
    <xf numFmtId="0" fontId="13" fillId="22" borderId="5" xfId="1" applyFont="1" applyFill="1" applyBorder="1" applyAlignment="1">
      <alignment horizontal="center" vertical="center"/>
    </xf>
    <xf numFmtId="49" fontId="14" fillId="2" borderId="1" xfId="0" applyNumberFormat="1" applyFont="1" applyFill="1" applyBorder="1"/>
    <xf numFmtId="49" fontId="14" fillId="2" borderId="2" xfId="0" applyNumberFormat="1" applyFont="1" applyFill="1" applyBorder="1"/>
    <xf numFmtId="49" fontId="14" fillId="2" borderId="3" xfId="0" applyNumberFormat="1" applyFont="1" applyFill="1" applyBorder="1"/>
    <xf numFmtId="0" fontId="14" fillId="0" borderId="0" xfId="0" applyFont="1"/>
    <xf numFmtId="49" fontId="14" fillId="0" borderId="1" xfId="0" applyNumberFormat="1" applyFont="1" applyBorder="1"/>
    <xf numFmtId="49" fontId="14" fillId="0" borderId="2" xfId="0" applyNumberFormat="1" applyFont="1" applyBorder="1"/>
    <xf numFmtId="49" fontId="14" fillId="0" borderId="3" xfId="0" applyNumberFormat="1" applyFont="1" applyBorder="1"/>
    <xf numFmtId="49" fontId="5" fillId="0" borderId="1" xfId="0" applyNumberFormat="1" applyFont="1" applyBorder="1"/>
    <xf numFmtId="49" fontId="5" fillId="0" borderId="3" xfId="0" applyNumberFormat="1" applyFont="1" applyBorder="1"/>
    <xf numFmtId="0" fontId="5" fillId="0" borderId="0" xfId="0" applyFont="1"/>
    <xf numFmtId="49" fontId="5" fillId="2" borderId="1" xfId="0" applyNumberFormat="1" applyFont="1" applyFill="1" applyBorder="1"/>
    <xf numFmtId="49" fontId="5" fillId="2" borderId="3" xfId="0" applyNumberFormat="1" applyFont="1" applyFill="1" applyBorder="1"/>
    <xf numFmtId="49" fontId="15" fillId="0" borderId="2" xfId="0" applyNumberFormat="1" applyFont="1" applyBorder="1" applyAlignment="1">
      <alignment vertical="center"/>
    </xf>
    <xf numFmtId="0" fontId="9" fillId="33" borderId="4" xfId="1" applyFont="1" applyFill="1" applyBorder="1" applyAlignment="1">
      <alignment horizontal="center" vertical="center"/>
    </xf>
    <xf numFmtId="0" fontId="16" fillId="33" borderId="4" xfId="1" applyFont="1" applyFill="1" applyBorder="1" applyAlignment="1">
      <alignment horizontal="left" vertical="center"/>
    </xf>
    <xf numFmtId="49" fontId="0" fillId="20" borderId="0" xfId="0" applyNumberFormat="1" applyFill="1"/>
    <xf numFmtId="49" fontId="0" fillId="34" borderId="0" xfId="0" applyNumberFormat="1" applyFill="1"/>
    <xf numFmtId="49" fontId="0" fillId="35" borderId="0" xfId="0" applyNumberFormat="1" applyFill="1"/>
    <xf numFmtId="49" fontId="0" fillId="36" borderId="0" xfId="0" applyNumberFormat="1" applyFill="1"/>
    <xf numFmtId="49" fontId="0" fillId="37" borderId="0" xfId="0" applyNumberFormat="1" applyFill="1"/>
    <xf numFmtId="49" fontId="0" fillId="38" borderId="0" xfId="0" applyNumberFormat="1" applyFill="1"/>
    <xf numFmtId="49" fontId="0" fillId="39" borderId="0" xfId="0" applyNumberFormat="1" applyFill="1"/>
    <xf numFmtId="49" fontId="0" fillId="40" borderId="0" xfId="0" applyNumberFormat="1" applyFill="1"/>
    <xf numFmtId="49" fontId="0" fillId="21" borderId="0" xfId="0" applyNumberFormat="1" applyFill="1"/>
    <xf numFmtId="49" fontId="0" fillId="41" borderId="0" xfId="0" applyNumberFormat="1" applyFill="1"/>
    <xf numFmtId="49" fontId="0" fillId="0" borderId="0" xfId="0" applyNumberFormat="1" applyAlignment="1">
      <alignment wrapText="1"/>
    </xf>
    <xf numFmtId="49" fontId="0" fillId="21" borderId="0" xfId="0" applyNumberFormat="1" applyFill="1" applyAlignment="1">
      <alignment wrapText="1"/>
    </xf>
    <xf numFmtId="49" fontId="0" fillId="40" borderId="0" xfId="0" applyNumberFormat="1" applyFill="1" applyAlignment="1">
      <alignment wrapText="1"/>
    </xf>
    <xf numFmtId="49" fontId="0" fillId="35" borderId="0" xfId="0" applyNumberFormat="1" applyFill="1" applyAlignment="1">
      <alignment wrapText="1"/>
    </xf>
    <xf numFmtId="49" fontId="0" fillId="34" borderId="0" xfId="0" applyNumberFormat="1" applyFill="1" applyAlignment="1">
      <alignment wrapText="1"/>
    </xf>
    <xf numFmtId="49" fontId="0" fillId="36" borderId="0" xfId="0" applyNumberFormat="1" applyFill="1" applyAlignment="1">
      <alignment wrapText="1"/>
    </xf>
    <xf numFmtId="49" fontId="0" fillId="37" borderId="0" xfId="0" applyNumberFormat="1" applyFill="1" applyAlignment="1">
      <alignment wrapText="1"/>
    </xf>
    <xf numFmtId="0" fontId="0" fillId="0" borderId="0" xfId="0" applyAlignment="1">
      <alignment wrapText="1"/>
    </xf>
    <xf numFmtId="49" fontId="0" fillId="41" borderId="0" xfId="0" applyNumberFormat="1" applyFill="1" applyAlignment="1">
      <alignment wrapText="1"/>
    </xf>
    <xf numFmtId="49" fontId="0" fillId="20" borderId="0" xfId="0" applyNumberFormat="1" applyFill="1" applyAlignment="1">
      <alignment wrapText="1"/>
    </xf>
    <xf numFmtId="49" fontId="0" fillId="38" borderId="0" xfId="0" applyNumberFormat="1" applyFill="1" applyAlignment="1">
      <alignment wrapText="1"/>
    </xf>
    <xf numFmtId="49" fontId="0" fillId="39" borderId="0" xfId="0" applyNumberFormat="1" applyFill="1" applyAlignment="1">
      <alignment wrapText="1"/>
    </xf>
    <xf numFmtId="49" fontId="0" fillId="29" borderId="0" xfId="0" applyNumberFormat="1" applyFill="1"/>
    <xf numFmtId="49" fontId="9" fillId="29" borderId="4" xfId="0" applyNumberFormat="1" applyFont="1" applyFill="1" applyBorder="1"/>
    <xf numFmtId="0" fontId="12" fillId="29" borderId="4" xfId="0" applyFont="1" applyFill="1" applyBorder="1"/>
    <xf numFmtId="0" fontId="0" fillId="2" borderId="2" xfId="0" applyFill="1" applyBorder="1"/>
    <xf numFmtId="0" fontId="7" fillId="2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0" xfId="0" applyFont="1"/>
    <xf numFmtId="49" fontId="0" fillId="42" borderId="0" xfId="0" applyNumberFormat="1" applyFill="1"/>
    <xf numFmtId="0" fontId="10" fillId="12" borderId="5" xfId="1" applyFont="1" applyFill="1" applyBorder="1" applyAlignment="1">
      <alignment horizontal="left" vertical="center"/>
    </xf>
    <xf numFmtId="0" fontId="10" fillId="12" borderId="5" xfId="1" applyFont="1" applyFill="1" applyBorder="1" applyAlignment="1">
      <alignment horizontal="right" vertical="center"/>
    </xf>
    <xf numFmtId="0" fontId="10" fillId="12" borderId="4" xfId="1" applyFont="1" applyFill="1" applyBorder="1" applyAlignment="1">
      <alignment horizontal="right" vertical="center"/>
    </xf>
    <xf numFmtId="0" fontId="10" fillId="12" borderId="4" xfId="1" applyFont="1" applyFill="1" applyBorder="1" applyAlignment="1">
      <alignment horizontal="left" vertical="center"/>
    </xf>
    <xf numFmtId="49" fontId="0" fillId="2" borderId="2" xfId="0" applyNumberFormat="1" applyFont="1" applyFill="1" applyBorder="1"/>
    <xf numFmtId="49" fontId="0" fillId="35" borderId="2" xfId="0" applyNumberFormat="1" applyFont="1" applyFill="1" applyBorder="1"/>
    <xf numFmtId="49" fontId="0" fillId="34" borderId="2" xfId="0" applyNumberFormat="1" applyFont="1" applyFill="1" applyBorder="1"/>
    <xf numFmtId="49" fontId="0" fillId="36" borderId="2" xfId="0" applyNumberFormat="1" applyFont="1" applyFill="1" applyBorder="1"/>
    <xf numFmtId="49" fontId="0" fillId="37" borderId="2" xfId="0" applyNumberFormat="1" applyFont="1" applyFill="1" applyBorder="1"/>
    <xf numFmtId="49" fontId="0" fillId="2" borderId="3" xfId="0" applyNumberFormat="1" applyFont="1" applyFill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49" fontId="0" fillId="20" borderId="2" xfId="0" applyNumberFormat="1" applyFont="1" applyFill="1" applyBorder="1"/>
    <xf numFmtId="49" fontId="0" fillId="0" borderId="0" xfId="0" applyNumberFormat="1" applyFont="1" applyBorder="1"/>
    <xf numFmtId="49" fontId="0" fillId="2" borderId="0" xfId="0" applyNumberFormat="1" applyFont="1" applyFill="1" applyBorder="1"/>
    <xf numFmtId="49" fontId="0" fillId="38" borderId="0" xfId="0" applyNumberFormat="1" applyFont="1" applyFill="1" applyBorder="1"/>
    <xf numFmtId="49" fontId="0" fillId="29" borderId="2" xfId="0" applyNumberFormat="1" applyFill="1" applyBorder="1"/>
    <xf numFmtId="49" fontId="0" fillId="40" borderId="0" xfId="0" applyNumberFormat="1" applyFont="1" applyFill="1" applyBorder="1"/>
    <xf numFmtId="49" fontId="0" fillId="34" borderId="2" xfId="0" applyNumberFormat="1" applyFill="1" applyBorder="1"/>
    <xf numFmtId="49" fontId="0" fillId="34" borderId="0" xfId="0" applyNumberFormat="1" applyFont="1" applyFill="1" applyBorder="1"/>
    <xf numFmtId="49" fontId="0" fillId="40" borderId="2" xfId="0" applyNumberFormat="1" applyFill="1" applyBorder="1"/>
    <xf numFmtId="49" fontId="0" fillId="35" borderId="0" xfId="0" applyNumberFormat="1" applyFont="1" applyFill="1" applyBorder="1"/>
    <xf numFmtId="49" fontId="0" fillId="35" borderId="2" xfId="0" applyNumberFormat="1" applyFill="1" applyBorder="1"/>
    <xf numFmtId="49" fontId="0" fillId="37" borderId="0" xfId="0" applyNumberFormat="1" applyFont="1" applyFill="1" applyBorder="1"/>
    <xf numFmtId="49" fontId="0" fillId="41" borderId="0" xfId="0" applyNumberFormat="1" applyFont="1" applyFill="1" applyBorder="1"/>
    <xf numFmtId="49" fontId="0" fillId="38" borderId="2" xfId="0" applyNumberFormat="1" applyFill="1" applyBorder="1"/>
    <xf numFmtId="49" fontId="0" fillId="20" borderId="0" xfId="0" applyNumberFormat="1" applyFont="1" applyFill="1" applyBorder="1"/>
    <xf numFmtId="49" fontId="0" fillId="39" borderId="0" xfId="0" applyNumberFormat="1" applyFont="1" applyFill="1" applyBorder="1"/>
    <xf numFmtId="49" fontId="0" fillId="37" borderId="2" xfId="0" applyNumberFormat="1" applyFill="1" applyBorder="1"/>
    <xf numFmtId="49" fontId="0" fillId="36" borderId="0" xfId="0" applyNumberFormat="1" applyFont="1" applyFill="1" applyBorder="1"/>
    <xf numFmtId="49" fontId="0" fillId="36" borderId="2" xfId="0" applyNumberFormat="1" applyFill="1" applyBorder="1"/>
    <xf numFmtId="49" fontId="0" fillId="29" borderId="0" xfId="0" applyNumberFormat="1" applyFont="1" applyFill="1" applyBorder="1"/>
    <xf numFmtId="49" fontId="0" fillId="21" borderId="3" xfId="0" applyNumberFormat="1" applyFill="1" applyBorder="1"/>
    <xf numFmtId="49" fontId="0" fillId="0" borderId="0" xfId="0" applyNumberFormat="1" applyBorder="1"/>
    <xf numFmtId="49" fontId="0" fillId="34" borderId="0" xfId="0" applyNumberFormat="1" applyFill="1" applyBorder="1"/>
    <xf numFmtId="49" fontId="0" fillId="40" borderId="0" xfId="0" applyNumberFormat="1" applyFill="1" applyBorder="1"/>
    <xf numFmtId="49" fontId="0" fillId="41" borderId="0" xfId="0" applyNumberFormat="1" applyFill="1" applyBorder="1"/>
    <xf numFmtId="49" fontId="0" fillId="35" borderId="0" xfId="0" applyNumberFormat="1" applyFill="1" applyBorder="1"/>
    <xf numFmtId="49" fontId="0" fillId="20" borderId="0" xfId="0" applyNumberFormat="1" applyFill="1" applyBorder="1"/>
    <xf numFmtId="49" fontId="0" fillId="36" borderId="0" xfId="0" applyNumberFormat="1" applyFill="1" applyBorder="1"/>
    <xf numFmtId="49" fontId="0" fillId="38" borderId="0" xfId="0" applyNumberFormat="1" applyFill="1" applyBorder="1"/>
    <xf numFmtId="49" fontId="0" fillId="37" borderId="0" xfId="0" applyNumberFormat="1" applyFill="1" applyBorder="1"/>
    <xf numFmtId="49" fontId="0" fillId="21" borderId="0" xfId="0" applyNumberFormat="1" applyFill="1" applyBorder="1"/>
    <xf numFmtId="49" fontId="0" fillId="39" borderId="0" xfId="0" applyNumberFormat="1" applyFill="1" applyBorder="1"/>
    <xf numFmtId="0" fontId="0" fillId="0" borderId="0" xfId="0" applyBorder="1"/>
  </cellXfs>
  <cellStyles count="2">
    <cellStyle name="Normal" xfId="0" builtinId="0"/>
    <cellStyle name="Normal 2" xfId="1" xr:uid="{B33FA5B1-4CE6-4A8A-BADE-2FB8021A9AC4}"/>
  </cellStyles>
  <dxfs count="155">
    <dxf>
      <numFmt numFmtId="30" formatCode="@"/>
    </dxf>
    <dxf>
      <numFmt numFmtId="30" formatCode="@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theme="9" tint="0.399975585192419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rgb="FF33CC33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rgb="FFCCECFF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rgb="FFFF7C80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theme="5" tint="0.3999755851924192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rgb="FFCCECFF"/>
        </patternFill>
      </fill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7C80"/>
        </patternFill>
      </fill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theme="5" tint="0.3999755851924192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7C80"/>
      <color rgb="FF33CC33"/>
      <color rgb="FF339933"/>
      <color rgb="FF15C2FF"/>
      <color rgb="FFFFCCFF"/>
      <color rgb="FFCCFF33"/>
      <color rgb="FFCCECFF"/>
      <color rgb="FFF97F8B"/>
      <color rgb="FF6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90407</xdr:colOff>
      <xdr:row>0</xdr:row>
      <xdr:rowOff>249116</xdr:rowOff>
    </xdr:from>
    <xdr:to>
      <xdr:col>15</xdr:col>
      <xdr:colOff>791026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44057-6366-4275-B467-5C9FD4CBD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4124617" y="997459"/>
          <a:ext cx="2808910" cy="1312224"/>
        </a:xfrm>
        <a:prstGeom prst="rect">
          <a:avLst/>
        </a:prstGeom>
      </xdr:spPr>
    </xdr:pic>
    <xdr:clientData/>
  </xdr:twoCellAnchor>
  <xdr:twoCellAnchor editAs="oneCell">
    <xdr:from>
      <xdr:col>14</xdr:col>
      <xdr:colOff>146539</xdr:colOff>
      <xdr:row>15</xdr:row>
      <xdr:rowOff>168520</xdr:rowOff>
    </xdr:from>
    <xdr:to>
      <xdr:col>15</xdr:col>
      <xdr:colOff>754673</xdr:colOff>
      <xdr:row>23</xdr:row>
      <xdr:rowOff>55762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DC96FD-E42F-4CD8-831E-C3E4601D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3223847"/>
          <a:ext cx="1216268" cy="1411242"/>
        </a:xfrm>
        <a:prstGeom prst="rect">
          <a:avLst/>
        </a:prstGeom>
      </xdr:spPr>
    </xdr:pic>
    <xdr:clientData/>
  </xdr:twoCellAnchor>
  <xdr:twoCellAnchor editAs="oneCell">
    <xdr:from>
      <xdr:col>14</xdr:col>
      <xdr:colOff>65267</xdr:colOff>
      <xdr:row>23</xdr:row>
      <xdr:rowOff>131882</xdr:rowOff>
    </xdr:from>
    <xdr:to>
      <xdr:col>15</xdr:col>
      <xdr:colOff>681405</xdr:colOff>
      <xdr:row>36</xdr:row>
      <xdr:rowOff>132061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04D664-1E9C-4447-B31B-C7CA24ECA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34690" y="4711209"/>
          <a:ext cx="1224272" cy="2344794"/>
        </a:xfrm>
        <a:prstGeom prst="rect">
          <a:avLst/>
        </a:prstGeom>
      </xdr:spPr>
    </xdr:pic>
    <xdr:clientData/>
  </xdr:twoCellAnchor>
  <xdr:oneCellAnchor>
    <xdr:from>
      <xdr:col>14</xdr:col>
      <xdr:colOff>215564</xdr:colOff>
      <xdr:row>14</xdr:row>
      <xdr:rowOff>120316</xdr:rowOff>
    </xdr:from>
    <xdr:ext cx="1080937" cy="233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33DF9D-3526-42A7-B8E7-B9673BAD85E1}"/>
            </a:ext>
          </a:extLst>
        </xdr:cNvPr>
        <xdr:cNvSpPr txBox="1"/>
      </xdr:nvSpPr>
      <xdr:spPr>
        <a:xfrm>
          <a:off x="4998117" y="2987842"/>
          <a:ext cx="108093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rgbClr val="FF0000"/>
              </a:solidFill>
            </a:rPr>
            <a:t>VB</a:t>
          </a:r>
          <a:r>
            <a:rPr lang="en-US" sz="900">
              <a:solidFill>
                <a:srgbClr val="FF0000"/>
              </a:solidFill>
            </a:rPr>
            <a:t>  3V </a:t>
          </a:r>
          <a:r>
            <a:rPr lang="en-US" sz="900" baseline="0">
              <a:solidFill>
                <a:srgbClr val="FF0000"/>
              </a:solidFill>
            </a:rPr>
            <a:t>GND PG  ON</a:t>
          </a:r>
          <a:endParaRPr lang="en-US" sz="9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67907</xdr:colOff>
      <xdr:row>0</xdr:row>
      <xdr:rowOff>347027</xdr:rowOff>
    </xdr:from>
    <xdr:to>
      <xdr:col>15</xdr:col>
      <xdr:colOff>765845</xdr:colOff>
      <xdr:row>25</xdr:row>
      <xdr:rowOff>21981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9DAA4E-CD94-4CC2-9319-69423DD39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35510" y="347027"/>
          <a:ext cx="1308852" cy="4634523"/>
        </a:xfrm>
        <a:prstGeom prst="rect">
          <a:avLst/>
        </a:prstGeom>
      </xdr:spPr>
    </xdr:pic>
    <xdr:clientData/>
  </xdr:twoCellAnchor>
  <xdr:twoCellAnchor editAs="oneCell">
    <xdr:from>
      <xdr:col>14</xdr:col>
      <xdr:colOff>43961</xdr:colOff>
      <xdr:row>32</xdr:row>
      <xdr:rowOff>161191</xdr:rowOff>
    </xdr:from>
    <xdr:to>
      <xdr:col>15</xdr:col>
      <xdr:colOff>838200</xdr:colOff>
      <xdr:row>42</xdr:row>
      <xdr:rowOff>38325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12BBEE-9E2B-41FC-B90A-2F365671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5986" y="6266716"/>
          <a:ext cx="1403839" cy="1782134"/>
        </a:xfrm>
        <a:prstGeom prst="rect">
          <a:avLst/>
        </a:prstGeom>
      </xdr:spPr>
    </xdr:pic>
    <xdr:clientData/>
  </xdr:twoCellAnchor>
  <xdr:oneCellAnchor>
    <xdr:from>
      <xdr:col>14</xdr:col>
      <xdr:colOff>231822</xdr:colOff>
      <xdr:row>19</xdr:row>
      <xdr:rowOff>119804</xdr:rowOff>
    </xdr:from>
    <xdr:ext cx="311496" cy="60935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30DE28-F272-4EF7-815B-AE2FE15B11EA}"/>
            </a:ext>
          </a:extLst>
        </xdr:cNvPr>
        <xdr:cNvSpPr txBox="1"/>
      </xdr:nvSpPr>
      <xdr:spPr>
        <a:xfrm rot="5400000">
          <a:off x="4950496" y="4085302"/>
          <a:ext cx="6093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VBat</a:t>
          </a:r>
        </a:p>
      </xdr:txBody>
    </xdr:sp>
    <xdr:clientData/>
  </xdr:oneCellAnchor>
  <xdr:oneCellAnchor>
    <xdr:from>
      <xdr:col>14</xdr:col>
      <xdr:colOff>205970</xdr:colOff>
      <xdr:row>3</xdr:row>
      <xdr:rowOff>64450</xdr:rowOff>
    </xdr:from>
    <xdr:ext cx="487679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BC247D3-F098-46ED-A5CD-9DAF5504150F}"/>
            </a:ext>
          </a:extLst>
        </xdr:cNvPr>
        <xdr:cNvSpPr txBox="1"/>
      </xdr:nvSpPr>
      <xdr:spPr>
        <a:xfrm>
          <a:off x="5073573" y="833019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5V</a:t>
          </a:r>
        </a:p>
      </xdr:txBody>
    </xdr:sp>
    <xdr:clientData/>
  </xdr:oneCellAnchor>
  <xdr:oneCellAnchor>
    <xdr:from>
      <xdr:col>14</xdr:col>
      <xdr:colOff>417588</xdr:colOff>
      <xdr:row>19</xdr:row>
      <xdr:rowOff>148496</xdr:rowOff>
    </xdr:from>
    <xdr:ext cx="311496" cy="49308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B028D2-0DFB-4D29-964F-58F9B18911AA}"/>
            </a:ext>
          </a:extLst>
        </xdr:cNvPr>
        <xdr:cNvSpPr txBox="1"/>
      </xdr:nvSpPr>
      <xdr:spPr>
        <a:xfrm rot="5400000">
          <a:off x="5194397" y="4055859"/>
          <a:ext cx="4930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3.3v</a:t>
          </a:r>
        </a:p>
      </xdr:txBody>
    </xdr:sp>
    <xdr:clientData/>
  </xdr:oneCellAnchor>
  <xdr:oneCellAnchor>
    <xdr:from>
      <xdr:col>14</xdr:col>
      <xdr:colOff>599872</xdr:colOff>
      <xdr:row>19</xdr:row>
      <xdr:rowOff>125690</xdr:rowOff>
    </xdr:from>
    <xdr:ext cx="311496" cy="524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86CD5B-44E2-4E40-8958-CAF2F4F267DA}"/>
            </a:ext>
          </a:extLst>
        </xdr:cNvPr>
        <xdr:cNvSpPr txBox="1"/>
      </xdr:nvSpPr>
      <xdr:spPr>
        <a:xfrm rot="5400000">
          <a:off x="5361100" y="4048634"/>
          <a:ext cx="5242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  <xdr:oneCellAnchor>
    <xdr:from>
      <xdr:col>15</xdr:col>
      <xdr:colOff>190608</xdr:colOff>
      <xdr:row>19</xdr:row>
      <xdr:rowOff>152589</xdr:rowOff>
    </xdr:from>
    <xdr:ext cx="311496" cy="65539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D3B7F27-83DC-461C-915C-45EFB8FA6202}"/>
            </a:ext>
          </a:extLst>
        </xdr:cNvPr>
        <xdr:cNvSpPr txBox="1"/>
      </xdr:nvSpPr>
      <xdr:spPr>
        <a:xfrm rot="5400000">
          <a:off x="5497176" y="4141107"/>
          <a:ext cx="6553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Prog</a:t>
          </a:r>
        </a:p>
      </xdr:txBody>
    </xdr:sp>
    <xdr:clientData/>
  </xdr:oneCellAnchor>
  <xdr:oneCellAnchor>
    <xdr:from>
      <xdr:col>15</xdr:col>
      <xdr:colOff>367851</xdr:colOff>
      <xdr:row>19</xdr:row>
      <xdr:rowOff>104744</xdr:rowOff>
    </xdr:from>
    <xdr:ext cx="311496" cy="63511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DFBAB2C-AFE8-43AC-9D0E-F4E387AA7A62}"/>
            </a:ext>
          </a:extLst>
        </xdr:cNvPr>
        <xdr:cNvSpPr txBox="1"/>
      </xdr:nvSpPr>
      <xdr:spPr>
        <a:xfrm rot="5400000">
          <a:off x="5684561" y="4083120"/>
          <a:ext cx="63511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On/</a:t>
          </a:r>
          <a:r>
            <a:rPr lang="en-US" sz="1400">
              <a:solidFill>
                <a:srgbClr val="FF0000"/>
              </a:solidFill>
            </a:rPr>
            <a:t>Off</a:t>
          </a:r>
        </a:p>
      </xdr:txBody>
    </xdr:sp>
    <xdr:clientData/>
  </xdr:oneCellAnchor>
  <xdr:oneCellAnchor>
    <xdr:from>
      <xdr:col>14</xdr:col>
      <xdr:colOff>177363</xdr:colOff>
      <xdr:row>4</xdr:row>
      <xdr:rowOff>72258</xdr:rowOff>
    </xdr:from>
    <xdr:ext cx="446690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67BFA5-C03B-40B7-9985-30DBECBDAA85}"/>
            </a:ext>
          </a:extLst>
        </xdr:cNvPr>
        <xdr:cNvSpPr txBox="1"/>
      </xdr:nvSpPr>
      <xdr:spPr>
        <a:xfrm>
          <a:off x="5044966" y="1031327"/>
          <a:ext cx="44669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DM</a:t>
          </a:r>
        </a:p>
      </xdr:txBody>
    </xdr:sp>
    <xdr:clientData/>
  </xdr:oneCellAnchor>
  <xdr:oneCellAnchor>
    <xdr:from>
      <xdr:col>14</xdr:col>
      <xdr:colOff>203638</xdr:colOff>
      <xdr:row>5</xdr:row>
      <xdr:rowOff>85396</xdr:rowOff>
    </xdr:from>
    <xdr:ext cx="487679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168C0E-CB60-4183-9F07-997502B285E7}"/>
            </a:ext>
          </a:extLst>
        </xdr:cNvPr>
        <xdr:cNvSpPr txBox="1"/>
      </xdr:nvSpPr>
      <xdr:spPr>
        <a:xfrm>
          <a:off x="5071241" y="1234965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DP</a:t>
          </a:r>
        </a:p>
      </xdr:txBody>
    </xdr:sp>
    <xdr:clientData/>
  </xdr:oneCellAnchor>
  <xdr:oneCellAnchor>
    <xdr:from>
      <xdr:col>14</xdr:col>
      <xdr:colOff>131379</xdr:colOff>
      <xdr:row>6</xdr:row>
      <xdr:rowOff>65689</xdr:rowOff>
    </xdr:from>
    <xdr:ext cx="487679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4B2C88F-7D53-4160-8E17-F36D218189C1}"/>
            </a:ext>
          </a:extLst>
        </xdr:cNvPr>
        <xdr:cNvSpPr txBox="1"/>
      </xdr:nvSpPr>
      <xdr:spPr>
        <a:xfrm>
          <a:off x="4998982" y="1405758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  <xdr:oneCellAnchor>
    <xdr:from>
      <xdr:col>14</xdr:col>
      <xdr:colOff>124810</xdr:colOff>
      <xdr:row>7</xdr:row>
      <xdr:rowOff>78828</xdr:rowOff>
    </xdr:from>
    <xdr:ext cx="487679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33851BA-38AB-44C4-8576-66B3B83CA090}"/>
            </a:ext>
          </a:extLst>
        </xdr:cNvPr>
        <xdr:cNvSpPr txBox="1"/>
      </xdr:nvSpPr>
      <xdr:spPr>
        <a:xfrm>
          <a:off x="4992413" y="1609397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67907</xdr:colOff>
      <xdr:row>0</xdr:row>
      <xdr:rowOff>347027</xdr:rowOff>
    </xdr:from>
    <xdr:to>
      <xdr:col>16</xdr:col>
      <xdr:colOff>765845</xdr:colOff>
      <xdr:row>25</xdr:row>
      <xdr:rowOff>21981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033F9-6AD9-4BE2-ACAA-521FA1BA7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06632" y="347027"/>
          <a:ext cx="1307538" cy="4637479"/>
        </a:xfrm>
        <a:prstGeom prst="rect">
          <a:avLst/>
        </a:prstGeom>
      </xdr:spPr>
    </xdr:pic>
    <xdr:clientData/>
  </xdr:twoCellAnchor>
  <xdr:twoCellAnchor editAs="oneCell">
    <xdr:from>
      <xdr:col>15</xdr:col>
      <xdr:colOff>43961</xdr:colOff>
      <xdr:row>32</xdr:row>
      <xdr:rowOff>161191</xdr:rowOff>
    </xdr:from>
    <xdr:to>
      <xdr:col>16</xdr:col>
      <xdr:colOff>838200</xdr:colOff>
      <xdr:row>42</xdr:row>
      <xdr:rowOff>38325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30918-A14A-46DF-B30F-804D6D26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686" y="6266716"/>
          <a:ext cx="1403839" cy="1782134"/>
        </a:xfrm>
        <a:prstGeom prst="rect">
          <a:avLst/>
        </a:prstGeom>
      </xdr:spPr>
    </xdr:pic>
    <xdr:clientData/>
  </xdr:twoCellAnchor>
  <xdr:oneCellAnchor>
    <xdr:from>
      <xdr:col>15</xdr:col>
      <xdr:colOff>231822</xdr:colOff>
      <xdr:row>19</xdr:row>
      <xdr:rowOff>119804</xdr:rowOff>
    </xdr:from>
    <xdr:ext cx="311496" cy="60935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ED2F48-5CB3-470E-8D1A-3F485613A7BB}"/>
            </a:ext>
          </a:extLst>
        </xdr:cNvPr>
        <xdr:cNvSpPr txBox="1"/>
      </xdr:nvSpPr>
      <xdr:spPr>
        <a:xfrm rot="5400000">
          <a:off x="5121618" y="4088258"/>
          <a:ext cx="6093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VBat</a:t>
          </a:r>
        </a:p>
      </xdr:txBody>
    </xdr:sp>
    <xdr:clientData/>
  </xdr:oneCellAnchor>
  <xdr:oneCellAnchor>
    <xdr:from>
      <xdr:col>15</xdr:col>
      <xdr:colOff>205970</xdr:colOff>
      <xdr:row>3</xdr:row>
      <xdr:rowOff>64450</xdr:rowOff>
    </xdr:from>
    <xdr:ext cx="487679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87D1B3-28A5-4016-8F60-9516D61D8012}"/>
            </a:ext>
          </a:extLst>
        </xdr:cNvPr>
        <xdr:cNvSpPr txBox="1"/>
      </xdr:nvSpPr>
      <xdr:spPr>
        <a:xfrm>
          <a:off x="5244695" y="835975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5V</a:t>
          </a:r>
        </a:p>
      </xdr:txBody>
    </xdr:sp>
    <xdr:clientData/>
  </xdr:oneCellAnchor>
  <xdr:oneCellAnchor>
    <xdr:from>
      <xdr:col>15</xdr:col>
      <xdr:colOff>417588</xdr:colOff>
      <xdr:row>19</xdr:row>
      <xdr:rowOff>148496</xdr:rowOff>
    </xdr:from>
    <xdr:ext cx="311496" cy="49308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0F2A5F-8197-4B2E-B280-2A4E53F52A6C}"/>
            </a:ext>
          </a:extLst>
        </xdr:cNvPr>
        <xdr:cNvSpPr txBox="1"/>
      </xdr:nvSpPr>
      <xdr:spPr>
        <a:xfrm rot="5400000">
          <a:off x="5365519" y="4058815"/>
          <a:ext cx="4930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3.3v</a:t>
          </a:r>
        </a:p>
      </xdr:txBody>
    </xdr:sp>
    <xdr:clientData/>
  </xdr:oneCellAnchor>
  <xdr:oneCellAnchor>
    <xdr:from>
      <xdr:col>15</xdr:col>
      <xdr:colOff>599872</xdr:colOff>
      <xdr:row>19</xdr:row>
      <xdr:rowOff>125690</xdr:rowOff>
    </xdr:from>
    <xdr:ext cx="311496" cy="52424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67C688-30AB-42DE-963D-AC6F4C693353}"/>
            </a:ext>
          </a:extLst>
        </xdr:cNvPr>
        <xdr:cNvSpPr txBox="1"/>
      </xdr:nvSpPr>
      <xdr:spPr>
        <a:xfrm rot="5400000">
          <a:off x="5532222" y="4051590"/>
          <a:ext cx="5242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  <xdr:oneCellAnchor>
    <xdr:from>
      <xdr:col>16</xdr:col>
      <xdr:colOff>190608</xdr:colOff>
      <xdr:row>19</xdr:row>
      <xdr:rowOff>152589</xdr:rowOff>
    </xdr:from>
    <xdr:ext cx="311496" cy="6553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361470-6E20-4412-BD0A-C7895DEDA983}"/>
            </a:ext>
          </a:extLst>
        </xdr:cNvPr>
        <xdr:cNvSpPr txBox="1"/>
      </xdr:nvSpPr>
      <xdr:spPr>
        <a:xfrm rot="5400000">
          <a:off x="5666984" y="4144063"/>
          <a:ext cx="6553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Prog</a:t>
          </a:r>
        </a:p>
      </xdr:txBody>
    </xdr:sp>
    <xdr:clientData/>
  </xdr:oneCellAnchor>
  <xdr:oneCellAnchor>
    <xdr:from>
      <xdr:col>16</xdr:col>
      <xdr:colOff>367851</xdr:colOff>
      <xdr:row>19</xdr:row>
      <xdr:rowOff>104744</xdr:rowOff>
    </xdr:from>
    <xdr:ext cx="311496" cy="63511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7A901C-FF94-4D43-B50C-F72136681D32}"/>
            </a:ext>
          </a:extLst>
        </xdr:cNvPr>
        <xdr:cNvSpPr txBox="1"/>
      </xdr:nvSpPr>
      <xdr:spPr>
        <a:xfrm rot="5400000">
          <a:off x="5854369" y="4086076"/>
          <a:ext cx="63511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On/</a:t>
          </a:r>
          <a:r>
            <a:rPr lang="en-US" sz="1400">
              <a:solidFill>
                <a:srgbClr val="FF0000"/>
              </a:solidFill>
            </a:rPr>
            <a:t>Off</a:t>
          </a:r>
        </a:p>
      </xdr:txBody>
    </xdr:sp>
    <xdr:clientData/>
  </xdr:oneCellAnchor>
  <xdr:oneCellAnchor>
    <xdr:from>
      <xdr:col>15</xdr:col>
      <xdr:colOff>177363</xdr:colOff>
      <xdr:row>4</xdr:row>
      <xdr:rowOff>72258</xdr:rowOff>
    </xdr:from>
    <xdr:ext cx="446690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7E3514-A73D-4CDE-AEA9-3555D5AE0B05}"/>
            </a:ext>
          </a:extLst>
        </xdr:cNvPr>
        <xdr:cNvSpPr txBox="1"/>
      </xdr:nvSpPr>
      <xdr:spPr>
        <a:xfrm>
          <a:off x="5216088" y="1034283"/>
          <a:ext cx="44669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DM</a:t>
          </a:r>
        </a:p>
      </xdr:txBody>
    </xdr:sp>
    <xdr:clientData/>
  </xdr:oneCellAnchor>
  <xdr:oneCellAnchor>
    <xdr:from>
      <xdr:col>15</xdr:col>
      <xdr:colOff>203638</xdr:colOff>
      <xdr:row>5</xdr:row>
      <xdr:rowOff>85396</xdr:rowOff>
    </xdr:from>
    <xdr:ext cx="487679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67D850-DCBB-41DC-807A-C12D8D4800DC}"/>
            </a:ext>
          </a:extLst>
        </xdr:cNvPr>
        <xdr:cNvSpPr txBox="1"/>
      </xdr:nvSpPr>
      <xdr:spPr>
        <a:xfrm>
          <a:off x="5242363" y="1237921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DP</a:t>
          </a:r>
        </a:p>
      </xdr:txBody>
    </xdr:sp>
    <xdr:clientData/>
  </xdr:oneCellAnchor>
  <xdr:oneCellAnchor>
    <xdr:from>
      <xdr:col>15</xdr:col>
      <xdr:colOff>131379</xdr:colOff>
      <xdr:row>6</xdr:row>
      <xdr:rowOff>65689</xdr:rowOff>
    </xdr:from>
    <xdr:ext cx="487679" cy="31149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DA05E2-3E92-46D8-8F95-0E9A547DF2B4}"/>
            </a:ext>
          </a:extLst>
        </xdr:cNvPr>
        <xdr:cNvSpPr txBox="1"/>
      </xdr:nvSpPr>
      <xdr:spPr>
        <a:xfrm>
          <a:off x="5170104" y="1408714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  <xdr:oneCellAnchor>
    <xdr:from>
      <xdr:col>15</xdr:col>
      <xdr:colOff>124810</xdr:colOff>
      <xdr:row>7</xdr:row>
      <xdr:rowOff>78828</xdr:rowOff>
    </xdr:from>
    <xdr:ext cx="487679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2B6EE6E-76AC-41CB-98C8-6F51C0B43006}"/>
            </a:ext>
          </a:extLst>
        </xdr:cNvPr>
        <xdr:cNvSpPr txBox="1"/>
      </xdr:nvSpPr>
      <xdr:spPr>
        <a:xfrm>
          <a:off x="5163535" y="1612353"/>
          <a:ext cx="4876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rgbClr val="FF0000"/>
              </a:solidFill>
            </a:rPr>
            <a:t>Gnd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D80CBD-E454-4577-A167-D5BBCAFD1653}" name="Table11" displayName="Table11" ref="A1:N63" totalsRowShown="0" headerRowDxfId="0">
  <autoFilter ref="A1:N63" xr:uid="{0AD80CBD-E454-4577-A167-D5BBCAFD1653}"/>
  <sortState xmlns:xlrd2="http://schemas.microsoft.com/office/spreadsheetml/2017/richdata2" ref="A2:N63">
    <sortCondition ref="D1:D63"/>
  </sortState>
  <tableColumns count="14">
    <tableColumn id="1" xr3:uid="{34F159C7-C26C-48B0-BB22-84A4422A9A62}" name="Teensy4">
      <calculatedColumnFormula>_xlfn.XLOOKUP(D2,'T4'!$B$2:$B$56,'T4'!$A$2:$A$56,"")</calculatedColumnFormula>
    </tableColumn>
    <tableColumn id="2" xr3:uid="{E1784945-7871-488B-9F89-41A61A634B1C}" name="T4.1">
      <calculatedColumnFormula>_xlfn.XLOOKUP(D2,'T4.1 MUX'!$B$2:$B$56,'T4.1 MUX'!$A$2:$A$56,"")</calculatedColumnFormula>
    </tableColumn>
    <tableColumn id="3" xr3:uid="{5FEF3D32-54F2-4A11-8F20-B182829A218A}" name="MMOD">
      <calculatedColumnFormula>_xlfn.XLOOKUP(D2, Micromod!$D$2:$D$47,Micromod!$A$2:$A$47,"")</calculatedColumnFormula>
    </tableColumn>
    <tableColumn id="4" xr3:uid="{A49C2539-262E-4890-8ED5-A9E9219F3A4B}" name="Name" dataDxfId="11"/>
    <tableColumn id="5" xr3:uid="{1BCFCB9C-3FF9-43DB-833F-874A4AD396C1}" name="ALT0" dataDxfId="10"/>
    <tableColumn id="6" xr3:uid="{C4931B91-9DFF-4BB8-A9CA-42171E144CA9}" name="ALt1" dataDxfId="9"/>
    <tableColumn id="7" xr3:uid="{29DD58C0-0899-49C8-9B4A-AC4DBAADFCBA}" name="ALT2" dataDxfId="8"/>
    <tableColumn id="8" xr3:uid="{FE88782A-9248-4CF6-B020-E36414613DB1}" name="ALT3" dataDxfId="7"/>
    <tableColumn id="9" xr3:uid="{DA13B41F-608F-4CB0-85F4-C8FAAC2C1776}" name="ALT4" dataDxfId="6"/>
    <tableColumn id="10" xr3:uid="{D95ADA4B-C151-4540-B8E8-B6637C368FD3}" name="Alt5" dataDxfId="5"/>
    <tableColumn id="11" xr3:uid="{17AE1CBC-7391-4BE9-83F5-75B018C845FD}" name="ALT6" dataDxfId="4"/>
    <tableColumn id="12" xr3:uid="{1D7A2585-E3EA-45E3-BE08-07108154F6C7}" name="ALT7" dataDxfId="3"/>
    <tableColumn id="13" xr3:uid="{754BCD03-8FFE-40EA-AB09-8CCBB71D113D}" name="ALT8" dataDxfId="2"/>
    <tableColumn id="14" xr3:uid="{91D0AB43-5612-436F-BAD1-639B4B3C44C4}" name="ALT9" dataDxfId="1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8428E-B0AF-455D-8C53-27C78090EA97}" name="Table4" displayName="Table4" ref="A1:M59" totalsRowShown="0" headerRowDxfId="126" dataDxfId="125">
  <autoFilter ref="A1:M59" xr:uid="{2C4157B9-E38B-485C-A285-A102A142EA99}"/>
  <tableColumns count="13">
    <tableColumn id="1" xr3:uid="{A16C6DF5-C3BD-4138-ACBB-ACE061AC5443}" name="Pin" dataDxfId="124"/>
    <tableColumn id="2" xr3:uid="{CC5B6B65-7928-436A-BED0-58A0574EBBC6}" name="Name" dataDxfId="123"/>
    <tableColumn id="3" xr3:uid="{F9478000-D09D-4158-8962-151C792B9115}" name="GPIO" dataDxfId="122"/>
    <tableColumn id="4" xr3:uid="{EEB23B63-7C82-4BC1-80FE-826F4A02B99D}" name="Serial" dataDxfId="121"/>
    <tableColumn id="5" xr3:uid="{1D7F4122-4922-476A-8C8E-378628CB944B}" name="I2C" dataDxfId="120"/>
    <tableColumn id="6" xr3:uid="{8B2BA30D-AD74-4591-9119-1A5E4B5E627D}" name="SPI" dataDxfId="119"/>
    <tableColumn id="7" xr3:uid="{50F13DDA-AECC-4873-B8BF-BF29B9FA3A1D}" name="PWM" dataDxfId="118"/>
    <tableColumn id="8" xr3:uid="{99EA318C-72FB-4EFD-9E14-9B5211643911}" name="CAN" dataDxfId="117"/>
    <tableColumn id="9" xr3:uid="{DC6B9277-B97B-4891-B766-22B3DE725408}" name="Audio" dataDxfId="116"/>
    <tableColumn id="10" xr3:uid="{1446B065-9F8B-426F-A535-611F882183B3}" name="XBAR" dataDxfId="115"/>
    <tableColumn id="11" xr3:uid="{DC1C2DEB-A4BD-44FE-B52D-E7ABF3D565E7}" name="FlexIO" dataDxfId="114"/>
    <tableColumn id="12" xr3:uid="{2A37AD20-1A78-4C16-9F5C-DBB6ECB30C3F}" name="Analog" dataDxfId="113"/>
    <tableColumn id="13" xr3:uid="{E0FD363E-BD42-46D9-8D08-5AE1FF584E61}" name="SD/CSI/LCD" dataDxfId="1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6923B6-4F50-44A0-85F6-B6E706E61BCE}" name="Table46" displayName="Table46" ref="A1:L56" totalsRowShown="0" headerRowDxfId="154" dataDxfId="153">
  <autoFilter ref="A1:L56" xr:uid="{2C4157B9-E38B-485C-A285-A102A142EA99}"/>
  <sortState xmlns:xlrd2="http://schemas.microsoft.com/office/spreadsheetml/2017/richdata2" ref="A2:L56">
    <sortCondition ref="A2:A56"/>
  </sortState>
  <tableColumns count="12">
    <tableColumn id="1" xr3:uid="{2FF2926D-76AF-4A43-864C-1929BFD0A68A}" name="Pin" dataDxfId="152"/>
    <tableColumn id="2" xr3:uid="{DBD9783C-68D1-4579-8AC6-92B0E31BC1E2}" name="Name" dataDxfId="151"/>
    <tableColumn id="14" xr3:uid="{76C17CD9-2E7D-4846-9BD8-D8AF2AEDA0DE}" name="ALT0" dataDxfId="150"/>
    <tableColumn id="15" xr3:uid="{BE004B08-9CAD-42A6-BD65-6B48419A2E82}" name="ALt1" dataDxfId="149"/>
    <tableColumn id="16" xr3:uid="{98599106-77C1-42F5-919C-AAB320F80A47}" name="ALT2" dataDxfId="148"/>
    <tableColumn id="17" xr3:uid="{32C3D940-EA13-46FC-A402-814E1B152721}" name="ALT3" dataDxfId="147"/>
    <tableColumn id="18" xr3:uid="{B2EC6B0E-2511-4B8C-A8E1-A6F7BBE97AA4}" name="ALT4" dataDxfId="146"/>
    <tableColumn id="19" xr3:uid="{7AC3B94D-0445-4DF5-9989-6936927A50E1}" name="Alt5" dataDxfId="145"/>
    <tableColumn id="20" xr3:uid="{CCFEC2C2-FBF1-474A-92CD-A58A299FF456}" name="ALT6" dataDxfId="144"/>
    <tableColumn id="21" xr3:uid="{B108228D-000D-4A0C-82EF-0E977A0DF892}" name="ALT7" dataDxfId="143"/>
    <tableColumn id="22" xr3:uid="{A38F3C31-4856-4D35-AA59-6E24E6DECC0C}" name="ALT8" dataDxfId="142"/>
    <tableColumn id="23" xr3:uid="{C86B93AE-1D5F-4DE8-A58A-8219019947DF}" name="ALT9" dataDxfId="14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58B21B-5C22-4FA1-A362-68DAB3B97BB9}" name="Table6" displayName="Table6" ref="A60:L114" totalsRowShown="0" headerRowDxfId="140" dataDxfId="139">
  <autoFilter ref="A60:L114" xr:uid="{2169E4F2-D9D8-454C-A0D1-E6674FA9DAD9}"/>
  <tableColumns count="12">
    <tableColumn id="1" xr3:uid="{B7A125DB-8197-4137-927D-01B57F6D2DB8}" name="Column1" dataDxfId="138"/>
    <tableColumn id="2" xr3:uid="{27772364-1ECB-4022-9501-5B18CACBEEB9}" name="Column2" dataDxfId="137"/>
    <tableColumn id="3" xr3:uid="{F7D07088-D82A-40E7-8DE6-9364D8606B68}" name="Column3" dataDxfId="136"/>
    <tableColumn id="4" xr3:uid="{DB82474D-E7C1-4AE9-86FB-D179BABB9BA5}" name="Column4" dataDxfId="135"/>
    <tableColumn id="5" xr3:uid="{CD08E255-64CB-483F-B70A-D94A461D1BB4}" name="Column5" dataDxfId="134"/>
    <tableColumn id="6" xr3:uid="{581A2802-7807-41F6-B19C-50FB2EAB3F37}" name="Column6" dataDxfId="133"/>
    <tableColumn id="7" xr3:uid="{4FAAAD73-A912-4138-A798-2F03FC0F267A}" name="Column7" dataDxfId="132"/>
    <tableColumn id="8" xr3:uid="{A7D6005F-9DA2-4C22-A99C-8E33EE2A9F9E}" name="Column8" dataDxfId="131"/>
    <tableColumn id="9" xr3:uid="{5488E0B9-52D2-4799-8B6F-2812F7462E6C}" name="Column9" dataDxfId="130"/>
    <tableColumn id="10" xr3:uid="{031DDFB5-CE19-4B43-875F-E09137CA5FB1}" name="Column10" dataDxfId="129"/>
    <tableColumn id="11" xr3:uid="{597C4812-2955-4E96-8267-9B6B0B972A3A}" name="Column11" dataDxfId="128"/>
    <tableColumn id="12" xr3:uid="{E319C875-3FF9-4AB9-88BD-B1B921E6B585}" name="Column12" dataDxfId="1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BF0D35-2CE8-4056-99C9-8BA06E84A4F2}" name="Table44" displayName="Table44" ref="A1:M57" totalsRowShown="0" headerRowDxfId="111" dataDxfId="110">
  <autoFilter ref="A1:M57" xr:uid="{2C4157B9-E38B-485C-A285-A102A142EA99}"/>
  <sortState xmlns:xlrd2="http://schemas.microsoft.com/office/spreadsheetml/2017/richdata2" ref="A2:M57">
    <sortCondition ref="C2:C57"/>
  </sortState>
  <tableColumns count="13">
    <tableColumn id="1" xr3:uid="{1F964F0D-83A4-459C-9496-6A1229BDD1CA}" name="Pin" dataDxfId="109"/>
    <tableColumn id="2" xr3:uid="{29F07050-DC12-4F4A-93C9-84EA4D24FC14}" name="Name" dataDxfId="108"/>
    <tableColumn id="3" xr3:uid="{2491D004-6B1F-44DA-9E9A-E599F694FEC5}" name="GPIO" dataDxfId="107"/>
    <tableColumn id="4" xr3:uid="{3AF6E798-9147-4AB4-936B-73FB56DAADDC}" name="Serial" dataDxfId="106"/>
    <tableColumn id="5" xr3:uid="{F90CC261-4748-4F6F-84BC-1F4507953F2B}" name="I2C" dataDxfId="105"/>
    <tableColumn id="6" xr3:uid="{1228CC1B-8420-4510-8B20-1B5A755F93F4}" name="SPI" dataDxfId="104"/>
    <tableColumn id="7" xr3:uid="{B5235724-C934-4085-BA21-9D87B83403F0}" name="PWM" dataDxfId="103"/>
    <tableColumn id="8" xr3:uid="{E6A78068-999F-4EB1-BC47-E0339ADDEB19}" name="CAN" dataDxfId="102"/>
    <tableColumn id="9" xr3:uid="{676FF9FA-1D40-4E7E-9217-0AB090DAD93E}" name="Audio" dataDxfId="101"/>
    <tableColumn id="10" xr3:uid="{B75CFCB1-0F3D-4A48-B9FB-BE8C97A0D331}" name="XBAR" dataDxfId="100"/>
    <tableColumn id="11" xr3:uid="{B6165631-5DF9-46E6-AFC1-E89804AF65C9}" name="FlexIO" dataDxfId="99"/>
    <tableColumn id="12" xr3:uid="{0A677E09-F667-440D-83B9-6B28A7D0361A}" name="Analog" dataDxfId="98"/>
    <tableColumn id="13" xr3:uid="{CACC907E-B7D3-4542-AA4D-60AA34159A4E}" name="SD/CSI/LCD" dataDxfId="9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1209C-0744-40DF-BEA2-51480749F938}" name="Table42" displayName="Table42" ref="A1:O54" totalsRowShown="0" headerRowDxfId="96" dataDxfId="95">
  <autoFilter ref="A1:O54" xr:uid="{2C4157B9-E38B-485C-A285-A102A142EA99}"/>
  <sortState xmlns:xlrd2="http://schemas.microsoft.com/office/spreadsheetml/2017/richdata2" ref="A2:O54">
    <sortCondition ref="A1:A54"/>
  </sortState>
  <tableColumns count="15">
    <tableColumn id="1" xr3:uid="{1FA4817C-7344-4B9E-9BD4-442E849ED7E8}" name="Pin" dataDxfId="94"/>
    <tableColumn id="14" xr3:uid="{D04EE676-F5DF-4C67-A077-D3541E71989D}" name="MM Pin" dataDxfId="93"/>
    <tableColumn id="15" xr3:uid="{A88820F6-6675-4941-A492-E2CB3BFFEB84}" name="MM Func" dataDxfId="92"/>
    <tableColumn id="2" xr3:uid="{4AD2AB58-241E-4CFC-A1C5-16943CF49E13}" name="Name" dataDxfId="91"/>
    <tableColumn id="3" xr3:uid="{F71AF128-9344-4146-AFB8-763C46188B4F}" name="GPIO" dataDxfId="90"/>
    <tableColumn id="4" xr3:uid="{09C9E89C-BD40-41CD-BCD9-FBFAF33CB6D8}" name="Serial" dataDxfId="89"/>
    <tableColumn id="5" xr3:uid="{3E815C42-FCE2-489B-91D3-683FE184F105}" name="I2C" dataDxfId="88"/>
    <tableColumn id="6" xr3:uid="{FEEE2127-D6CF-4F96-819F-1B287988C35D}" name="SPI" dataDxfId="87"/>
    <tableColumn id="7" xr3:uid="{73226C5A-CBE1-49F8-9481-E18F0FD235CE}" name="PWM" dataDxfId="86"/>
    <tableColumn id="8" xr3:uid="{9F8D0763-B9D7-4C0A-AED0-834476CC37CA}" name="CAN" dataDxfId="85"/>
    <tableColumn id="9" xr3:uid="{FB55AA45-516A-4120-8948-A5AF8C8A54DD}" name="Audio" dataDxfId="84"/>
    <tableColumn id="10" xr3:uid="{FE9C4536-9536-418C-8C69-E56A803D4E2B}" name="XBAR" dataDxfId="83"/>
    <tableColumn id="11" xr3:uid="{80808062-5E4F-4FCA-BB01-53A3D23512F9}" name="FlexIO" dataDxfId="82"/>
    <tableColumn id="12" xr3:uid="{CC4496D7-52BC-4F94-AA69-73D82D9E163E}" name="Analog" dataDxfId="81"/>
    <tableColumn id="13" xr3:uid="{F42DD222-DD94-4C47-A5E3-AAB2345C9AEB}" name="SD/CSI/LCD" dataDxfId="8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6ACF2B-8A1F-4071-84D1-F0538238AF12}" name="Table10" displayName="Table10" ref="A1:Q51" totalsRowShown="0" headerRowDxfId="79" dataDxfId="78" tableBorderDxfId="77">
  <autoFilter ref="A1:Q51" xr:uid="{D16ACF2B-8A1F-4071-84D1-F0538238AF12}"/>
  <sortState xmlns:xlrd2="http://schemas.microsoft.com/office/spreadsheetml/2017/richdata2" ref="A2:Q51">
    <sortCondition ref="A1:A51"/>
  </sortState>
  <tableColumns count="17">
    <tableColumn id="1" xr3:uid="{9E373FE8-5124-4CC0-A23C-8851061D0CC5}" name="Pin" dataDxfId="76"/>
    <tableColumn id="2" xr3:uid="{BCF7FADA-684B-4473-AFA6-593DADBB6452}" name="MM Pin" dataDxfId="75"/>
    <tableColumn id="3" xr3:uid="{902C200C-11E0-4813-8D44-F9A006E5FBF6}" name="OV767X Shield" dataDxfId="74"/>
    <tableColumn id="17" xr3:uid="{A34E6B70-06E3-41DD-ACA0-2D7D220B37EB}" name="MM ATP" dataDxfId="73"/>
    <tableColumn id="4" xr3:uid="{ED5A5B5F-80E9-4C11-A9F3-336251A40C20}" name="MM Func" dataDxfId="72"/>
    <tableColumn id="5" xr3:uid="{CB494137-2E60-4B87-B748-6A762E85E3F7}" name="Name" dataDxfId="71"/>
    <tableColumn id="6" xr3:uid="{7E48E56F-ECF2-4600-B98A-ABB91CCFC302}" name="GPIO" dataDxfId="70"/>
    <tableColumn id="7" xr3:uid="{5380A848-2A31-4A0B-BCC9-B7527F8FB768}" name="Serial" dataDxfId="69"/>
    <tableColumn id="8" xr3:uid="{2983C7D2-113B-4BC0-B609-903B46073BF9}" name="I2C" dataDxfId="68"/>
    <tableColumn id="9" xr3:uid="{73F8DB2B-868C-4569-B2EC-17FEC58BC8AF}" name="SPI" dataDxfId="67"/>
    <tableColumn id="10" xr3:uid="{2D2C10D6-86C8-426F-A481-5487DC71D710}" name="PWM" dataDxfId="66"/>
    <tableColumn id="11" xr3:uid="{F40D425A-23A0-4044-9ABA-67F2065D6444}" name="CAN" dataDxfId="65"/>
    <tableColumn id="12" xr3:uid="{89E439C9-8615-48E3-9F4E-83AE6CDD2ECE}" name="Audio" dataDxfId="64"/>
    <tableColumn id="13" xr3:uid="{A82E0861-D2B0-49A4-98BB-9FC8B492793F}" name="XBAR" dataDxfId="63"/>
    <tableColumn id="14" xr3:uid="{E5B7F794-89A8-41AB-B156-2DC150C7B6BD}" name="FlexIO" dataDxfId="62"/>
    <tableColumn id="15" xr3:uid="{BB94F6C3-2A3F-4341-873A-E8EB48F55AA0}" name="Analog" dataDxfId="61"/>
    <tableColumn id="16" xr3:uid="{F46400E1-DBE0-4049-B1B3-254E635A97CB}" name="SD/CSI/LCD" dataDxfId="6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F0D0DE-E703-498E-803F-134DCC0D2DF8}" name="Table468" displayName="Table468" ref="A1:L49" totalsRowShown="0" headerRowDxfId="59" dataDxfId="58">
  <autoFilter ref="A1:L49" xr:uid="{2C4157B9-E38B-485C-A285-A102A142EA99}"/>
  <sortState xmlns:xlrd2="http://schemas.microsoft.com/office/spreadsheetml/2017/richdata2" ref="A2:L49">
    <sortCondition ref="A2:A49"/>
  </sortState>
  <tableColumns count="12">
    <tableColumn id="1" xr3:uid="{097CAC07-ACCE-443D-94A7-419C66E4E3C3}" name="Pin" dataDxfId="57"/>
    <tableColumn id="2" xr3:uid="{5A846C30-C7ED-4854-BD00-BEAC4E2718CC}" name="Name" dataDxfId="56"/>
    <tableColumn id="14" xr3:uid="{90E2F772-E066-4194-91FF-2DC2496A8214}" name="ALT0" dataDxfId="55"/>
    <tableColumn id="15" xr3:uid="{39A2F77B-1C42-48FD-8856-5612AC205AB8}" name="ALt1" dataDxfId="54"/>
    <tableColumn id="16" xr3:uid="{456EFAA6-A7BA-4400-8AE0-E1091C7520F8}" name="ALT2" dataDxfId="53"/>
    <tableColumn id="17" xr3:uid="{1612AABD-9788-4905-AE0F-27CF7F79F402}" name="ALT3" dataDxfId="52"/>
    <tableColumn id="18" xr3:uid="{C0AF6905-CE1B-4C10-ACC0-ECD3B61A08C6}" name="ALT4" dataDxfId="51"/>
    <tableColumn id="19" xr3:uid="{DCD0F4A0-37B0-423C-B04C-3D3B377F8511}" name="Alt5" dataDxfId="50"/>
    <tableColumn id="20" xr3:uid="{186BE6AA-F7E6-4E55-8E78-A4AE5C15635C}" name="ALT6" dataDxfId="49"/>
    <tableColumn id="21" xr3:uid="{66A339C3-DD04-416C-9DFB-90EB0C4212B2}" name="ALT7" dataDxfId="48"/>
    <tableColumn id="22" xr3:uid="{4D745D3A-F911-40A2-9BC8-AA687438894C}" name="ALT8" dataDxfId="47"/>
    <tableColumn id="23" xr3:uid="{27E14851-7939-422A-8CF4-8CA3F0574DB5}" name="ALT9" dataDxfId="4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D5ACF-E653-4DB3-8FE2-1B01953FA219}" name="Table423" displayName="Table423" ref="A1:M47" totalsRowShown="0" headerRowDxfId="45" dataDxfId="44">
  <autoFilter ref="A1:M47" xr:uid="{2C4157B9-E38B-485C-A285-A102A142EA99}"/>
  <sortState xmlns:xlrd2="http://schemas.microsoft.com/office/spreadsheetml/2017/richdata2" ref="A2:M47">
    <sortCondition ref="C1:C47"/>
  </sortState>
  <tableColumns count="13">
    <tableColumn id="1" xr3:uid="{E235028C-ACE8-4A1F-98BD-F9271F19A1D2}" name="Pin" dataDxfId="43"/>
    <tableColumn id="2" xr3:uid="{1F222945-3BCF-4053-98AF-648BD8687B08}" name="Name" dataDxfId="42"/>
    <tableColumn id="3" xr3:uid="{D441F102-0187-41C3-A599-5422C2DA8755}" name="GPIO" dataDxfId="41"/>
    <tableColumn id="4" xr3:uid="{06DF530B-4B4E-44C9-8DDE-3AD326E1E14F}" name="Serial" dataDxfId="40"/>
    <tableColumn id="5" xr3:uid="{FAD43D46-EB5B-473B-91C4-485BEB1E341A}" name="I2C" dataDxfId="39"/>
    <tableColumn id="6" xr3:uid="{167987D0-794F-449D-A9C6-10A4C507490A}" name="SPI" dataDxfId="38"/>
    <tableColumn id="7" xr3:uid="{FA011A7B-F201-400A-9944-07B86FDE3CC8}" name="PWM" dataDxfId="37"/>
    <tableColumn id="8" xr3:uid="{2C77510B-E776-4A66-8E95-E299D8840634}" name="CAN" dataDxfId="36"/>
    <tableColumn id="9" xr3:uid="{23957E32-3ECD-4002-9B52-2A6AC70592CA}" name="Audio" dataDxfId="35"/>
    <tableColumn id="10" xr3:uid="{9E86FA4C-0EE4-4197-8193-1D2D26419192}" name="XBAR" dataDxfId="34"/>
    <tableColumn id="11" xr3:uid="{91907E0A-BB1E-4AD4-A578-4E156B00B089}" name="FlexIO" dataDxfId="33"/>
    <tableColumn id="12" xr3:uid="{B5129136-343E-4C0E-B257-CC80A2575D2C}" name="Analog" dataDxfId="32"/>
    <tableColumn id="13" xr3:uid="{018BA245-1B76-45AD-BE6D-82A0CBAC04E3}" name="SD/CSI/LCD" dataDxfId="3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41AECC-5712-4BCA-A596-9C0CB1293C3C}" name="Table429" displayName="Table429" ref="A1:Q51" totalsRowShown="0" headerRowDxfId="30" dataDxfId="29">
  <autoFilter ref="A1:Q51" xr:uid="{2C4157B9-E38B-485C-A285-A102A142EA99}"/>
  <sortState xmlns:xlrd2="http://schemas.microsoft.com/office/spreadsheetml/2017/richdata2" ref="A2:Q51">
    <sortCondition ref="B1:B51"/>
  </sortState>
  <tableColumns count="17">
    <tableColumn id="1" xr3:uid="{37ED9441-AADD-45A5-9B8A-66F6628F8231}" name="Pin" dataDxfId="28"/>
    <tableColumn id="14" xr3:uid="{09562C75-1038-4785-B8A3-8DAFBAFB30B3}" name="MM Pin" dataDxfId="27"/>
    <tableColumn id="17" xr3:uid="{101DA444-6019-4981-8243-CE82B3599A1E}" name="MM ATP" dataDxfId="26"/>
    <tableColumn id="15" xr3:uid="{E2D15E23-7CDE-452E-BAE6-D77C2A88F073}" name="Machine Learning" dataDxfId="25"/>
    <tableColumn id="16" xr3:uid="{B707069A-E766-413F-8F8B-EF0FDD7D0EEB}" name="Machine 2nd use" dataDxfId="24"/>
    <tableColumn id="2" xr3:uid="{29631A29-5E49-4960-8F77-1258826E97D5}" name="Name" dataDxfId="23"/>
    <tableColumn id="3" xr3:uid="{E952EDD8-4192-4D61-A812-8240B62D5B81}" name="GPIO" dataDxfId="22"/>
    <tableColumn id="4" xr3:uid="{9E640BBA-D605-49E5-9A21-5217214971DE}" name="Serial" dataDxfId="21"/>
    <tableColumn id="5" xr3:uid="{D3FE2504-C0B1-49F9-8DA7-539544C4C0F2}" name="I2C" dataDxfId="20"/>
    <tableColumn id="6" xr3:uid="{1DEA927C-E26E-4F66-9175-F56020C92232}" name="SPI" dataDxfId="19"/>
    <tableColumn id="7" xr3:uid="{37FF36DC-3436-40BD-82FA-D695E413BB22}" name="PWM" dataDxfId="18"/>
    <tableColumn id="8" xr3:uid="{747496B3-BC07-4D95-9679-D89F36304C4A}" name="CAN" dataDxfId="17"/>
    <tableColumn id="9" xr3:uid="{3CE5B864-8FD7-4D08-B650-9908E11A92F2}" name="Audio" dataDxfId="16"/>
    <tableColumn id="10" xr3:uid="{B1DE82DD-6EF5-4255-A071-D1D816FC455A}" name="XBAR" dataDxfId="15"/>
    <tableColumn id="11" xr3:uid="{700AFAFF-A2D6-46AE-B456-2DE96305B686}" name="FlexIO" dataDxfId="14"/>
    <tableColumn id="12" xr3:uid="{D9A0BB67-82F6-462F-A31C-3DF1CBE7F3A7}" name="Analog" dataDxfId="13"/>
    <tableColumn id="13" xr3:uid="{2B30549A-F3EF-4AEA-A629-039D03297FA8}" name="SD/CSI/LCD" dataDxfId="1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293CAA-5401-45A9-AF7E-8D98CA088D1E}" name="Table9" displayName="Table9" ref="A1:D33" totalsRowShown="0">
  <autoFilter ref="A1:D33" xr:uid="{34293CAA-5401-45A9-AF7E-8D98CA088D1E}"/>
  <tableColumns count="4">
    <tableColumn id="1" xr3:uid="{CB6A22F2-C906-4865-8416-9059354B15B0}" name="F Pin"/>
    <tableColumn id="2" xr3:uid="{5A48EAF9-7EA7-414A-BABD-422C197D97FA}" name="Function name"/>
    <tableColumn id="3" xr3:uid="{066112D8-859D-4CCC-9BF7-445C15991709}" name="F0 Teensy pin"/>
    <tableColumn id="4" xr3:uid="{E816D538-EC6A-4354-A013-E23A50905FF6}" name="F1 Teensy 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E8BE-CB62-4D17-BA97-6C3ACC1F30E9}">
  <dimension ref="A1:N104"/>
  <sheetViews>
    <sheetView tabSelected="1" workbookViewId="0"/>
  </sheetViews>
  <sheetFormatPr defaultRowHeight="15"/>
  <cols>
    <col min="1" max="1" width="10.42578125" customWidth="1"/>
    <col min="3" max="3" width="9.28515625" customWidth="1"/>
    <col min="4" max="4" width="11" style="2" customWidth="1"/>
    <col min="5" max="5" width="18.5703125" style="2" customWidth="1"/>
    <col min="6" max="6" width="21.7109375" style="2" customWidth="1"/>
    <col min="7" max="8" width="23.85546875" style="2" customWidth="1"/>
    <col min="9" max="9" width="23.28515625" style="2" bestFit="1" customWidth="1"/>
    <col min="10" max="10" width="12.5703125" style="2" customWidth="1"/>
    <col min="11" max="11" width="23.28515625" style="2" bestFit="1" customWidth="1"/>
    <col min="12" max="12" width="15" style="2" bestFit="1" customWidth="1"/>
    <col min="13" max="13" width="24.28515625" style="2" bestFit="1" customWidth="1"/>
    <col min="14" max="14" width="17.28515625" style="2" customWidth="1"/>
  </cols>
  <sheetData>
    <row r="1" spans="1:14">
      <c r="A1" t="s">
        <v>1299</v>
      </c>
      <c r="B1" t="s">
        <v>1300</v>
      </c>
      <c r="C1" t="s">
        <v>1298</v>
      </c>
      <c r="D1" s="2" t="s">
        <v>2</v>
      </c>
      <c r="E1" s="2" t="s">
        <v>626</v>
      </c>
      <c r="F1" s="2" t="s">
        <v>627</v>
      </c>
      <c r="G1" s="2" t="s">
        <v>628</v>
      </c>
      <c r="H1" s="2" t="s">
        <v>629</v>
      </c>
      <c r="I1" s="2" t="s">
        <v>630</v>
      </c>
      <c r="J1" s="2" t="s">
        <v>631</v>
      </c>
      <c r="K1" s="2" t="s">
        <v>632</v>
      </c>
      <c r="L1" s="2" t="s">
        <v>633</v>
      </c>
      <c r="M1" s="2" t="s">
        <v>634</v>
      </c>
      <c r="N1" s="2" t="s">
        <v>635</v>
      </c>
    </row>
    <row r="2" spans="1:14">
      <c r="A2" t="str">
        <f>_xlfn.XLOOKUP(D2,'T4'!$B$2:$B$56,'T4'!$A$2:$A$56,"")</f>
        <v xml:space="preserve"> 1</v>
      </c>
      <c r="B2" t="str">
        <f>_xlfn.XLOOKUP(D2,'T4.1 MUX'!$B$2:$B$56,'T4.1 MUX'!$A$2:$A$56,"")</f>
        <v xml:space="preserve"> 1</v>
      </c>
      <c r="C2" t="str">
        <f>_xlfn.XLOOKUP(D2, Micromod!$D$2:$D$47,Micromod!$A$2:$A$47,"")</f>
        <v>01</v>
      </c>
      <c r="D2" s="2" t="s">
        <v>23</v>
      </c>
      <c r="E2" s="173" t="s">
        <v>637</v>
      </c>
      <c r="F2" s="172" t="s">
        <v>645</v>
      </c>
      <c r="G2" s="167" t="s">
        <v>646</v>
      </c>
      <c r="H2" s="2" t="s">
        <v>647</v>
      </c>
      <c r="I2" s="166" t="s">
        <v>648</v>
      </c>
      <c r="J2" s="168" t="s">
        <v>649</v>
      </c>
      <c r="K2" s="2" t="s">
        <v>650</v>
      </c>
      <c r="L2" s="169" t="s">
        <v>651</v>
      </c>
    </row>
    <row r="3" spans="1:14">
      <c r="A3" t="str">
        <f>_xlfn.XLOOKUP(D3,'T4'!$B$2:$B$56,'T4'!$A$2:$A$56,"")</f>
        <v xml:space="preserve"> 0</v>
      </c>
      <c r="B3" t="str">
        <f>_xlfn.XLOOKUP(D3,'T4.1 MUX'!$B$2:$B$56,'T4.1 MUX'!$A$2:$A$56,"")</f>
        <v xml:space="preserve"> 0</v>
      </c>
      <c r="C3" t="str">
        <f>_xlfn.XLOOKUP(D3, Micromod!$D$2:$D$47,Micromod!$A$2:$A$47,"")</f>
        <v>00</v>
      </c>
      <c r="D3" s="2" t="s">
        <v>17</v>
      </c>
      <c r="E3" s="173" t="s">
        <v>636</v>
      </c>
      <c r="F3" s="172" t="s">
        <v>639</v>
      </c>
      <c r="G3" s="167" t="s">
        <v>638</v>
      </c>
      <c r="H3" s="2" t="s">
        <v>640</v>
      </c>
      <c r="I3" s="166" t="s">
        <v>641</v>
      </c>
      <c r="J3" s="168" t="s">
        <v>642</v>
      </c>
      <c r="K3" s="2" t="s">
        <v>643</v>
      </c>
      <c r="L3" s="169" t="s">
        <v>644</v>
      </c>
    </row>
    <row r="4" spans="1:14">
      <c r="A4" t="str">
        <f>_xlfn.XLOOKUP(D4,'T4'!$B$2:$B$56,'T4'!$A$2:$A$56,"")</f>
        <v>24/A10</v>
      </c>
      <c r="B4" t="str">
        <f>_xlfn.XLOOKUP(D4,'T4.1 MUX'!$B$2:$B$56,'T4.1 MUX'!$A$2:$A$56,"")</f>
        <v>24/A10</v>
      </c>
      <c r="C4" t="str">
        <f>_xlfn.XLOOKUP(D4, Micromod!$D$2:$D$47,Micromod!$A$2:$A$47,"")</f>
        <v>24/A10</v>
      </c>
      <c r="D4" s="228" t="s">
        <v>152</v>
      </c>
      <c r="E4" s="235" t="s">
        <v>652</v>
      </c>
      <c r="F4" s="228" t="s">
        <v>653</v>
      </c>
      <c r="G4" s="232" t="s">
        <v>654</v>
      </c>
      <c r="H4" s="228" t="s">
        <v>655</v>
      </c>
      <c r="I4" s="229" t="s">
        <v>656</v>
      </c>
      <c r="J4" s="234" t="s">
        <v>657</v>
      </c>
      <c r="K4" s="228" t="s">
        <v>658</v>
      </c>
      <c r="L4" s="228" t="s">
        <v>659</v>
      </c>
      <c r="M4" s="228"/>
      <c r="N4" s="228"/>
    </row>
    <row r="5" spans="1:14">
      <c r="A5" t="str">
        <f>_xlfn.XLOOKUP(D5,'T4'!$B$2:$B$56,'T4'!$A$2:$A$56,"")</f>
        <v>25/A11</v>
      </c>
      <c r="B5" t="str">
        <f>_xlfn.XLOOKUP(D5,'T4.1 MUX'!$B$2:$B$56,'T4.1 MUX'!$A$2:$A$56,"")</f>
        <v>25/A11</v>
      </c>
      <c r="C5" t="str">
        <f>_xlfn.XLOOKUP(D5, Micromod!$D$2:$D$47,Micromod!$A$2:$A$47,"")</f>
        <v>25/A11</v>
      </c>
      <c r="D5" s="228" t="s">
        <v>157</v>
      </c>
      <c r="E5" s="235" t="s">
        <v>660</v>
      </c>
      <c r="F5" s="228" t="s">
        <v>160</v>
      </c>
      <c r="G5" s="232" t="s">
        <v>661</v>
      </c>
      <c r="H5" s="228" t="s">
        <v>662</v>
      </c>
      <c r="I5" s="229" t="s">
        <v>663</v>
      </c>
      <c r="J5" s="234" t="s">
        <v>664</v>
      </c>
      <c r="K5" s="228" t="s">
        <v>665</v>
      </c>
      <c r="L5" s="228" t="s">
        <v>643</v>
      </c>
      <c r="M5" s="228"/>
      <c r="N5" s="228"/>
    </row>
    <row r="6" spans="1:14">
      <c r="A6" t="str">
        <f>_xlfn.XLOOKUP(D6,'T4'!$B$2:$B$56,'T4'!$A$2:$A$56,"")</f>
        <v>19/A5</v>
      </c>
      <c r="B6" t="str">
        <f>_xlfn.XLOOKUP(D6,'T4.1 MUX'!$B$2:$B$56,'T4.1 MUX'!$A$2:$A$56,"")</f>
        <v>19/A5</v>
      </c>
      <c r="C6" t="str">
        <f>_xlfn.XLOOKUP(D6, Micromod!$D$2:$D$47,Micromod!$A$2:$A$47,"")</f>
        <v>19/A5</v>
      </c>
      <c r="D6" s="2" t="s">
        <v>125</v>
      </c>
      <c r="E6" s="2" t="s">
        <v>666</v>
      </c>
      <c r="F6" s="166" t="s">
        <v>667</v>
      </c>
      <c r="G6" s="167" t="s">
        <v>668</v>
      </c>
      <c r="H6" s="170" t="s">
        <v>669</v>
      </c>
      <c r="I6" s="2" t="s">
        <v>670</v>
      </c>
      <c r="J6" s="168" t="s">
        <v>671</v>
      </c>
      <c r="K6" s="187" t="s">
        <v>677</v>
      </c>
      <c r="L6" s="2" t="s">
        <v>678</v>
      </c>
      <c r="M6" s="2" t="s">
        <v>679</v>
      </c>
      <c r="N6" s="165" t="s">
        <v>680</v>
      </c>
    </row>
    <row r="7" spans="1:14">
      <c r="A7" t="str">
        <f>_xlfn.XLOOKUP(D7,'T4'!$B$2:$B$56,'T4'!$A$2:$A$56,"")</f>
        <v>18/A4</v>
      </c>
      <c r="B7" t="str">
        <f>_xlfn.XLOOKUP(D7,'T4.1 MUX'!$B$2:$B$56,'T4.1 MUX'!$A$2:$A$56,"")</f>
        <v>18/A4</v>
      </c>
      <c r="C7" t="str">
        <f>_xlfn.XLOOKUP(D7, Micromod!$D$2:$D$47,Micromod!$A$2:$A$47,"")</f>
        <v>18/A4</v>
      </c>
      <c r="D7" s="2" t="s">
        <v>120</v>
      </c>
      <c r="E7" s="2" t="s">
        <v>647</v>
      </c>
      <c r="F7" s="166" t="s">
        <v>672</v>
      </c>
      <c r="G7" s="167" t="s">
        <v>673</v>
      </c>
      <c r="H7" s="170" t="s">
        <v>674</v>
      </c>
      <c r="I7" s="2" t="s">
        <v>653</v>
      </c>
      <c r="J7" s="168" t="s">
        <v>675</v>
      </c>
      <c r="K7" s="187" t="s">
        <v>676</v>
      </c>
      <c r="L7" s="2" t="s">
        <v>681</v>
      </c>
      <c r="M7" s="2" t="s">
        <v>682</v>
      </c>
      <c r="N7" s="165" t="s">
        <v>683</v>
      </c>
    </row>
    <row r="8" spans="1:14">
      <c r="A8" t="str">
        <f>_xlfn.XLOOKUP(D8,'T4'!$B$2:$B$56,'T4'!$A$2:$A$56,"")</f>
        <v>14/A0</v>
      </c>
      <c r="B8" t="str">
        <f>_xlfn.XLOOKUP(D8,'T4.1 MUX'!$B$2:$B$56,'T4.1 MUX'!$A$2:$A$56,"")</f>
        <v>14/A0</v>
      </c>
      <c r="C8" t="str">
        <f>_xlfn.XLOOKUP(D8, Micromod!$D$2:$D$47,Micromod!$A$2:$A$47,"")</f>
        <v>14/A0</v>
      </c>
      <c r="D8" s="2" t="s">
        <v>98</v>
      </c>
      <c r="E8" s="2" t="s">
        <v>684</v>
      </c>
      <c r="F8" s="166" t="s">
        <v>685</v>
      </c>
      <c r="G8" s="167" t="s">
        <v>686</v>
      </c>
      <c r="H8" s="174" t="s">
        <v>101</v>
      </c>
      <c r="I8" s="2" t="s">
        <v>687</v>
      </c>
      <c r="J8" s="168" t="s">
        <v>688</v>
      </c>
      <c r="K8" s="187" t="s">
        <v>689</v>
      </c>
      <c r="L8" s="2" t="s">
        <v>690</v>
      </c>
      <c r="M8" s="2" t="s">
        <v>691</v>
      </c>
      <c r="N8" s="165" t="s">
        <v>692</v>
      </c>
    </row>
    <row r="9" spans="1:14">
      <c r="A9" t="str">
        <f>_xlfn.XLOOKUP(D9,'T4'!$B$2:$B$56,'T4'!$A$2:$A$56,"")</f>
        <v>15/A1</v>
      </c>
      <c r="B9" t="str">
        <f>_xlfn.XLOOKUP(D9,'T4.1 MUX'!$B$2:$B$56,'T4.1 MUX'!$A$2:$A$56,"")</f>
        <v>15/A1</v>
      </c>
      <c r="C9" t="str">
        <f>_xlfn.XLOOKUP(D9, Micromod!$D$2:$D$47,Micromod!$A$2:$A$47,"")</f>
        <v>15/A1</v>
      </c>
      <c r="D9" s="2" t="s">
        <v>104</v>
      </c>
      <c r="E9" s="2" t="s">
        <v>640</v>
      </c>
      <c r="F9" s="166" t="s">
        <v>693</v>
      </c>
      <c r="G9" s="167" t="s">
        <v>694</v>
      </c>
      <c r="H9" s="174" t="s">
        <v>107</v>
      </c>
      <c r="I9" s="2" t="s">
        <v>695</v>
      </c>
      <c r="J9" s="168" t="s">
        <v>696</v>
      </c>
      <c r="K9" s="2" t="s">
        <v>697</v>
      </c>
      <c r="L9" s="2" t="s">
        <v>698</v>
      </c>
      <c r="M9" s="2" t="s">
        <v>699</v>
      </c>
      <c r="N9" s="165" t="s">
        <v>700</v>
      </c>
    </row>
    <row r="10" spans="1:14">
      <c r="A10" t="str">
        <f>_xlfn.XLOOKUP(D10,'T4'!$B$2:$B$56,'T4'!$A$2:$A$56,"")</f>
        <v/>
      </c>
      <c r="B10" t="str">
        <f>_xlfn.XLOOKUP(D10,'T4.1 MUX'!$B$2:$B$56,'T4.1 MUX'!$A$2:$A$56,"")</f>
        <v>40/A16</v>
      </c>
      <c r="C10" t="str">
        <f>_xlfn.XLOOKUP(D10, Micromod!$D$2:$D$47,Micromod!$A$2:$A$47,"")</f>
        <v/>
      </c>
      <c r="D10" s="209" t="s">
        <v>293</v>
      </c>
      <c r="E10" s="209" t="s">
        <v>701</v>
      </c>
      <c r="F10" s="209" t="s">
        <v>702</v>
      </c>
      <c r="G10" s="216" t="s">
        <v>703</v>
      </c>
      <c r="H10" s="209" t="s">
        <v>704</v>
      </c>
      <c r="I10" s="222" t="s">
        <v>547</v>
      </c>
      <c r="J10" s="224" t="s">
        <v>705</v>
      </c>
      <c r="K10" s="210" t="s">
        <v>361</v>
      </c>
      <c r="L10" s="209" t="s">
        <v>706</v>
      </c>
      <c r="M10" s="209" t="s">
        <v>707</v>
      </c>
      <c r="N10" s="221" t="s">
        <v>708</v>
      </c>
    </row>
    <row r="11" spans="1:14">
      <c r="A11" t="str">
        <f>_xlfn.XLOOKUP(D11,'T4'!$B$2:$B$56,'T4'!$A$2:$A$56,"")</f>
        <v/>
      </c>
      <c r="B11" t="str">
        <f>_xlfn.XLOOKUP(D11,'T4.1 MUX'!$B$2:$B$56,'T4.1 MUX'!$A$2:$A$56,"")</f>
        <v>41/A17</v>
      </c>
      <c r="C11" t="str">
        <f>_xlfn.XLOOKUP(D11, Micromod!$D$2:$D$47,Micromod!$A$2:$A$47,"")</f>
        <v/>
      </c>
      <c r="D11" s="208" t="s">
        <v>294</v>
      </c>
      <c r="E11" s="208" t="s">
        <v>709</v>
      </c>
      <c r="F11" s="208" t="s">
        <v>710</v>
      </c>
      <c r="G11" s="216" t="s">
        <v>711</v>
      </c>
      <c r="H11" s="208" t="s">
        <v>101</v>
      </c>
      <c r="I11" s="222" t="s">
        <v>550</v>
      </c>
      <c r="J11" s="224" t="s">
        <v>712</v>
      </c>
      <c r="K11" s="210" t="s">
        <v>362</v>
      </c>
      <c r="L11" s="208" t="s">
        <v>713</v>
      </c>
      <c r="M11" s="208" t="s">
        <v>714</v>
      </c>
      <c r="N11" s="221" t="s">
        <v>715</v>
      </c>
    </row>
    <row r="12" spans="1:14">
      <c r="A12" t="str">
        <f>_xlfn.XLOOKUP(D12,'T4'!$B$2:$B$56,'T4'!$A$2:$A$56,"")</f>
        <v>17/A3</v>
      </c>
      <c r="B12" t="str">
        <f>_xlfn.XLOOKUP(D12,'T4.1 MUX'!$B$2:$B$56,'T4.1 MUX'!$A$2:$A$56,"")</f>
        <v>17/A3</v>
      </c>
      <c r="C12" t="str">
        <f>_xlfn.XLOOKUP(D12, Micromod!$D$2:$D$47,Micromod!$A$2:$A$47,"")</f>
        <v>17/A3</v>
      </c>
      <c r="D12" s="2" t="s">
        <v>115</v>
      </c>
      <c r="E12" s="2" t="s">
        <v>716</v>
      </c>
      <c r="F12" s="170" t="s">
        <v>717</v>
      </c>
      <c r="G12" s="167" t="s">
        <v>718</v>
      </c>
      <c r="H12" s="2" t="s">
        <v>117</v>
      </c>
      <c r="I12" s="171" t="s">
        <v>548</v>
      </c>
      <c r="J12" s="168" t="s">
        <v>719</v>
      </c>
      <c r="K12" s="2" t="s">
        <v>363</v>
      </c>
      <c r="L12" s="2" t="s">
        <v>720</v>
      </c>
      <c r="M12" s="2" t="s">
        <v>721</v>
      </c>
      <c r="N12" s="165" t="s">
        <v>722</v>
      </c>
    </row>
    <row r="13" spans="1:14">
      <c r="A13" t="str">
        <f>_xlfn.XLOOKUP(D13,'T4'!$B$2:$B$56,'T4'!$A$2:$A$56,"")</f>
        <v>16/A2</v>
      </c>
      <c r="B13" t="str">
        <f>_xlfn.XLOOKUP(D13,'T4.1 MUX'!$B$2:$B$56,'T4.1 MUX'!$A$2:$A$56,"")</f>
        <v>16/A2</v>
      </c>
      <c r="C13" t="str">
        <f>_xlfn.XLOOKUP(D13, Micromod!$D$2:$D$47,Micromod!$A$2:$A$47,"")</f>
        <v>16/A2</v>
      </c>
      <c r="D13" s="2" t="s">
        <v>110</v>
      </c>
      <c r="E13" s="2" t="s">
        <v>723</v>
      </c>
      <c r="F13" s="170" t="s">
        <v>724</v>
      </c>
      <c r="G13" s="167" t="s">
        <v>725</v>
      </c>
      <c r="H13" s="2" t="s">
        <v>726</v>
      </c>
      <c r="I13" s="171" t="s">
        <v>549</v>
      </c>
      <c r="J13" s="168" t="s">
        <v>727</v>
      </c>
      <c r="K13" s="2" t="s">
        <v>364</v>
      </c>
      <c r="L13" s="2" t="s">
        <v>728</v>
      </c>
      <c r="M13" s="2" t="s">
        <v>729</v>
      </c>
      <c r="N13" s="165" t="s">
        <v>730</v>
      </c>
    </row>
    <row r="14" spans="1:14">
      <c r="A14" t="str">
        <f>_xlfn.XLOOKUP(D14,'T4'!$B$2:$B$56,'T4'!$A$2:$A$56,"")</f>
        <v>22/A8</v>
      </c>
      <c r="B14" t="str">
        <f>_xlfn.XLOOKUP(D14,'T4.1 MUX'!$B$2:$B$56,'T4.1 MUX'!$A$2:$A$56,"")</f>
        <v>22/A8</v>
      </c>
      <c r="C14" t="str">
        <f>_xlfn.XLOOKUP(D14, Micromod!$D$2:$D$47,Micromod!$A$2:$A$47,"")</f>
        <v>22/A8</v>
      </c>
      <c r="D14" s="228" t="s">
        <v>140</v>
      </c>
      <c r="E14" s="228" t="s">
        <v>731</v>
      </c>
      <c r="F14" s="229" t="s">
        <v>732</v>
      </c>
      <c r="G14" s="237" t="s">
        <v>733</v>
      </c>
      <c r="H14" s="228" t="s">
        <v>653</v>
      </c>
      <c r="I14" s="238" t="s">
        <v>734</v>
      </c>
      <c r="J14" s="234" t="s">
        <v>735</v>
      </c>
      <c r="K14" s="228" t="s">
        <v>365</v>
      </c>
      <c r="L14" s="228" t="s">
        <v>736</v>
      </c>
      <c r="M14" s="228"/>
      <c r="N14" s="233" t="s">
        <v>737</v>
      </c>
    </row>
    <row r="15" spans="1:14">
      <c r="A15" t="str">
        <f>_xlfn.XLOOKUP(D15,'T4'!$B$2:$B$56,'T4'!$A$2:$A$56,"")</f>
        <v>23/A9</v>
      </c>
      <c r="B15" t="str">
        <f>_xlfn.XLOOKUP(D15,'T4.1 MUX'!$B$2:$B$56,'T4.1 MUX'!$A$2:$A$56,"")</f>
        <v>23/A9</v>
      </c>
      <c r="C15" t="str">
        <f>_xlfn.XLOOKUP(D15, Micromod!$D$2:$D$47,Micromod!$A$2:$A$47,"")</f>
        <v>23/A9</v>
      </c>
      <c r="D15" s="228" t="s">
        <v>145</v>
      </c>
      <c r="E15" s="228" t="s">
        <v>738</v>
      </c>
      <c r="F15" s="229" t="s">
        <v>739</v>
      </c>
      <c r="G15" s="237" t="s">
        <v>740</v>
      </c>
      <c r="H15" s="231" t="s">
        <v>741</v>
      </c>
      <c r="I15" s="238" t="s">
        <v>742</v>
      </c>
      <c r="J15" s="234" t="s">
        <v>743</v>
      </c>
      <c r="K15" s="228" t="s">
        <v>366</v>
      </c>
      <c r="L15" s="228" t="s">
        <v>744</v>
      </c>
      <c r="M15" s="228"/>
      <c r="N15" s="233" t="s">
        <v>745</v>
      </c>
    </row>
    <row r="16" spans="1:14">
      <c r="A16" t="str">
        <f>_xlfn.XLOOKUP(D16,'T4'!$B$2:$B$56,'T4'!$A$2:$A$56,"")</f>
        <v>20/A6</v>
      </c>
      <c r="B16" t="str">
        <f>_xlfn.XLOOKUP(D16,'T4.1 MUX'!$B$2:$B$56,'T4.1 MUX'!$A$2:$A$56,"")</f>
        <v>20/A6</v>
      </c>
      <c r="C16" t="str">
        <f>_xlfn.XLOOKUP(D16, Micromod!$D$2:$D$47,Micromod!$A$2:$A$47,"")</f>
        <v>20/A6</v>
      </c>
      <c r="D16" s="2" t="s">
        <v>130</v>
      </c>
      <c r="E16" s="2" t="s">
        <v>746</v>
      </c>
      <c r="F16" s="2" t="s">
        <v>670</v>
      </c>
      <c r="G16" s="167" t="s">
        <v>747</v>
      </c>
      <c r="H16" s="174" t="s">
        <v>748</v>
      </c>
      <c r="I16" s="171" t="s">
        <v>749</v>
      </c>
      <c r="J16" s="168" t="s">
        <v>750</v>
      </c>
      <c r="K16" s="2" t="s">
        <v>751</v>
      </c>
      <c r="L16" s="2" t="s">
        <v>752</v>
      </c>
      <c r="M16" s="2" t="s">
        <v>753</v>
      </c>
      <c r="N16" s="165" t="s">
        <v>754</v>
      </c>
    </row>
    <row r="17" spans="1:14">
      <c r="A17" t="str">
        <f>_xlfn.XLOOKUP(D17,'T4'!$B$2:$B$56,'T4'!$A$2:$A$56,"")</f>
        <v>21/A7</v>
      </c>
      <c r="B17" t="str">
        <f>_xlfn.XLOOKUP(D17,'T4.1 MUX'!$B$2:$B$56,'T4.1 MUX'!$A$2:$A$56,"")</f>
        <v>21/A7</v>
      </c>
      <c r="C17" t="str">
        <f>_xlfn.XLOOKUP(D17, Micromod!$D$2:$D$47,Micromod!$A$2:$A$47,"")</f>
        <v>21/A7</v>
      </c>
      <c r="D17" s="2" t="s">
        <v>135</v>
      </c>
      <c r="E17" s="2" t="s">
        <v>755</v>
      </c>
      <c r="F17" s="2" t="s">
        <v>662</v>
      </c>
      <c r="G17" s="167" t="s">
        <v>756</v>
      </c>
      <c r="H17" s="174" t="s">
        <v>757</v>
      </c>
      <c r="I17" s="171" t="s">
        <v>758</v>
      </c>
      <c r="J17" s="168" t="s">
        <v>759</v>
      </c>
      <c r="K17" s="2" t="s">
        <v>760</v>
      </c>
      <c r="L17" s="2" t="s">
        <v>761</v>
      </c>
      <c r="M17" s="2" t="s">
        <v>762</v>
      </c>
      <c r="N17" s="165" t="s">
        <v>763</v>
      </c>
    </row>
    <row r="18" spans="1:14">
      <c r="A18" t="str">
        <f>_xlfn.XLOOKUP(D18,'T4'!$B$2:$B$56,'T4'!$A$2:$A$56,"")</f>
        <v/>
      </c>
      <c r="B18" t="str">
        <f>_xlfn.XLOOKUP(D18,'T4.1 MUX'!$B$2:$B$56,'T4.1 MUX'!$A$2:$A$56,"")</f>
        <v>38/A14</v>
      </c>
      <c r="C18" t="str">
        <f>_xlfn.XLOOKUP(D18, Micromod!$D$2:$D$47,Micromod!$A$2:$A$47,"")</f>
        <v/>
      </c>
      <c r="D18" s="209" t="s">
        <v>291</v>
      </c>
      <c r="E18" s="209" t="s">
        <v>764</v>
      </c>
      <c r="F18" s="209" t="s">
        <v>765</v>
      </c>
      <c r="G18" s="218" t="s">
        <v>644</v>
      </c>
      <c r="H18" s="219" t="s">
        <v>766</v>
      </c>
      <c r="I18" s="222" t="s">
        <v>767</v>
      </c>
      <c r="J18" s="224" t="s">
        <v>768</v>
      </c>
      <c r="K18" s="209" t="s">
        <v>769</v>
      </c>
      <c r="L18" s="209" t="s">
        <v>770</v>
      </c>
      <c r="M18" s="209" t="s">
        <v>771</v>
      </c>
      <c r="N18" s="221" t="s">
        <v>772</v>
      </c>
    </row>
    <row r="19" spans="1:14">
      <c r="A19" t="str">
        <f>_xlfn.XLOOKUP(D19,'T4'!$B$2:$B$56,'T4'!$A$2:$A$56,"")</f>
        <v/>
      </c>
      <c r="B19" t="str">
        <f>_xlfn.XLOOKUP(D19,'T4.1 MUX'!$B$2:$B$56,'T4.1 MUX'!$A$2:$A$56,"")</f>
        <v>39/A5</v>
      </c>
      <c r="C19" t="str">
        <f>_xlfn.XLOOKUP(D19, Micromod!$D$2:$D$47,Micromod!$A$2:$A$47,"")</f>
        <v/>
      </c>
      <c r="D19" s="208" t="s">
        <v>292</v>
      </c>
      <c r="E19" s="208" t="s">
        <v>773</v>
      </c>
      <c r="F19" s="208" t="s">
        <v>774</v>
      </c>
      <c r="G19" s="218" t="s">
        <v>651</v>
      </c>
      <c r="H19" s="219" t="s">
        <v>775</v>
      </c>
      <c r="I19" s="222" t="s">
        <v>776</v>
      </c>
      <c r="J19" s="224" t="s">
        <v>777</v>
      </c>
      <c r="K19" s="208" t="s">
        <v>778</v>
      </c>
      <c r="L19" s="208" t="s">
        <v>779</v>
      </c>
      <c r="M19" s="208" t="s">
        <v>780</v>
      </c>
      <c r="N19" s="221" t="s">
        <v>781</v>
      </c>
    </row>
    <row r="20" spans="1:14">
      <c r="A20" t="str">
        <f>_xlfn.XLOOKUP(D20,'T4'!$B$2:$B$56,'T4'!$A$2:$A$56,"")</f>
        <v>26/A12</v>
      </c>
      <c r="B20" t="str">
        <f>_xlfn.XLOOKUP(D20,'T4.1 MUX'!$B$2:$B$56,'T4.1 MUX'!$A$2:$A$56,"")</f>
        <v>26/A12</v>
      </c>
      <c r="C20" t="str">
        <f>_xlfn.XLOOKUP(D20, Micromod!$D$2:$D$47,Micromod!$A$2:$A$47,"")</f>
        <v>26/A12</v>
      </c>
      <c r="D20" s="228" t="s">
        <v>163</v>
      </c>
      <c r="E20" s="228" t="s">
        <v>782</v>
      </c>
      <c r="F20" s="228" t="s">
        <v>783</v>
      </c>
      <c r="G20" s="236" t="s">
        <v>784</v>
      </c>
      <c r="H20" s="228" t="s">
        <v>785</v>
      </c>
      <c r="I20" s="238" t="s">
        <v>786</v>
      </c>
      <c r="J20" s="234" t="s">
        <v>787</v>
      </c>
      <c r="K20" s="228" t="s">
        <v>788</v>
      </c>
      <c r="L20" s="228" t="s">
        <v>789</v>
      </c>
      <c r="M20" s="228" t="s">
        <v>790</v>
      </c>
      <c r="N20" s="233" t="s">
        <v>791</v>
      </c>
    </row>
    <row r="21" spans="1:14">
      <c r="A21" t="str">
        <f>_xlfn.XLOOKUP(D21,'T4'!$B$2:$B$56,'T4'!$A$2:$A$56,"")</f>
        <v>27/A13</v>
      </c>
      <c r="B21" t="str">
        <f>_xlfn.XLOOKUP(D21,'T4.1 MUX'!$B$2:$B$56,'T4.1 MUX'!$A$2:$A$56,"")</f>
        <v>27/A13</v>
      </c>
      <c r="C21" t="str">
        <f>_xlfn.XLOOKUP(D21, Micromod!$D$2:$D$47,Micromod!$A$2:$A$47,"")</f>
        <v>27/A13</v>
      </c>
      <c r="D21" s="228" t="s">
        <v>168</v>
      </c>
      <c r="E21" s="228" t="s">
        <v>792</v>
      </c>
      <c r="F21" s="228" t="s">
        <v>793</v>
      </c>
      <c r="G21" s="236" t="s">
        <v>794</v>
      </c>
      <c r="H21" s="228" t="s">
        <v>795</v>
      </c>
      <c r="I21" s="238" t="s">
        <v>796</v>
      </c>
      <c r="J21" s="234" t="s">
        <v>797</v>
      </c>
      <c r="K21" s="228" t="s">
        <v>798</v>
      </c>
      <c r="L21" s="228" t="s">
        <v>799</v>
      </c>
      <c r="M21" s="228" t="s">
        <v>800</v>
      </c>
      <c r="N21" s="233" t="s">
        <v>801</v>
      </c>
    </row>
    <row r="22" spans="1:14">
      <c r="A22" t="str">
        <f>_xlfn.XLOOKUP(D22,'T4'!$B$2:$B$56,'T4'!$A$2:$A$56,"")</f>
        <v>10</v>
      </c>
      <c r="B22" t="str">
        <f>_xlfn.XLOOKUP(D22,'T4.1 MUX'!$B$2:$B$56,'T4.1 MUX'!$A$2:$A$56,"")</f>
        <v>10</v>
      </c>
      <c r="C22" t="str">
        <f>_xlfn.XLOOKUP(D22, Micromod!$D$2:$D$47,Micromod!$A$2:$A$47,"")</f>
        <v>10</v>
      </c>
      <c r="D22" s="2" t="s">
        <v>74</v>
      </c>
      <c r="E22" s="2" t="s">
        <v>606</v>
      </c>
      <c r="F22" s="166" t="s">
        <v>802</v>
      </c>
      <c r="G22" s="174" t="s">
        <v>77</v>
      </c>
      <c r="H22" s="169" t="s">
        <v>803</v>
      </c>
      <c r="I22" s="165" t="s">
        <v>804</v>
      </c>
      <c r="J22" s="168" t="s">
        <v>805</v>
      </c>
      <c r="K22" s="2" t="s">
        <v>806</v>
      </c>
      <c r="M22" s="2" t="s">
        <v>807</v>
      </c>
    </row>
    <row r="23" spans="1:14">
      <c r="A23" t="str">
        <f>_xlfn.XLOOKUP(D23,'T4'!$B$2:$B$56,'T4'!$A$2:$A$56,"")</f>
        <v>12</v>
      </c>
      <c r="B23" t="str">
        <f>_xlfn.XLOOKUP(D23,'T4.1 MUX'!$B$2:$B$56,'T4.1 MUX'!$A$2:$A$56,"")</f>
        <v>12</v>
      </c>
      <c r="C23" t="str">
        <f>_xlfn.XLOOKUP(D23, Micromod!$D$2:$D$47,Micromod!$A$2:$A$47,"")</f>
        <v>12</v>
      </c>
      <c r="D23" s="2" t="s">
        <v>86</v>
      </c>
      <c r="E23" s="2" t="s">
        <v>607</v>
      </c>
      <c r="F23" s="166" t="s">
        <v>808</v>
      </c>
      <c r="G23" s="174" t="s">
        <v>89</v>
      </c>
      <c r="H23" s="169" t="s">
        <v>809</v>
      </c>
      <c r="I23" s="165" t="s">
        <v>810</v>
      </c>
      <c r="J23" s="168" t="s">
        <v>811</v>
      </c>
      <c r="K23" s="2" t="s">
        <v>812</v>
      </c>
      <c r="M23" s="2" t="s">
        <v>813</v>
      </c>
    </row>
    <row r="24" spans="1:14">
      <c r="A24" t="str">
        <f>_xlfn.XLOOKUP(D24,'T4'!$B$2:$B$56,'T4'!$A$2:$A$56,"")</f>
        <v>11</v>
      </c>
      <c r="B24" t="str">
        <f>_xlfn.XLOOKUP(D24,'T4.1 MUX'!$B$2:$B$56,'T4.1 MUX'!$A$2:$A$56,"")</f>
        <v>11</v>
      </c>
      <c r="C24" t="str">
        <f>_xlfn.XLOOKUP(D24, Micromod!$D$2:$D$47,Micromod!$A$2:$A$47,"")</f>
        <v>11</v>
      </c>
      <c r="D24" s="2" t="s">
        <v>80</v>
      </c>
      <c r="E24" s="2" t="s">
        <v>608</v>
      </c>
      <c r="F24" s="166" t="s">
        <v>814</v>
      </c>
      <c r="G24" s="173" t="s">
        <v>733</v>
      </c>
      <c r="H24" s="169" t="s">
        <v>815</v>
      </c>
      <c r="I24" s="165" t="s">
        <v>816</v>
      </c>
      <c r="J24" s="168" t="s">
        <v>817</v>
      </c>
      <c r="K24" s="2" t="s">
        <v>818</v>
      </c>
      <c r="M24" s="2" t="s">
        <v>679</v>
      </c>
    </row>
    <row r="25" spans="1:14">
      <c r="A25" t="str">
        <f>_xlfn.XLOOKUP(D25,'T4'!$B$2:$B$56,'T4'!$A$2:$A$56,"")</f>
        <v>13</v>
      </c>
      <c r="B25" t="str">
        <f>_xlfn.XLOOKUP(D25,'T4.1 MUX'!$B$2:$B$56,'T4.1 MUX'!$A$2:$A$56,"")</f>
        <v>13</v>
      </c>
      <c r="C25" t="str">
        <f>_xlfn.XLOOKUP(D25, Micromod!$D$2:$D$47,Micromod!$A$2:$A$47,"")</f>
        <v>13</v>
      </c>
      <c r="D25" s="2" t="s">
        <v>92</v>
      </c>
      <c r="E25" s="2" t="s">
        <v>609</v>
      </c>
      <c r="F25" s="166" t="s">
        <v>819</v>
      </c>
      <c r="G25" s="173" t="s">
        <v>740</v>
      </c>
      <c r="H25" s="169" t="s">
        <v>820</v>
      </c>
      <c r="I25" s="165" t="s">
        <v>821</v>
      </c>
      <c r="J25" s="168" t="s">
        <v>822</v>
      </c>
      <c r="K25" s="2" t="s">
        <v>823</v>
      </c>
      <c r="M25" s="2" t="s">
        <v>682</v>
      </c>
    </row>
    <row r="26" spans="1:14">
      <c r="A26" t="str">
        <f>_xlfn.XLOOKUP(D26,'T4'!$B$2:$B$56,'T4'!$A$2:$A$56,"")</f>
        <v/>
      </c>
      <c r="B26" t="str">
        <f>_xlfn.XLOOKUP(D26,'T4.1 MUX'!$B$2:$B$56,'T4.1 MUX'!$A$2:$A$56,"")</f>
        <v/>
      </c>
      <c r="C26" t="str">
        <f>_xlfn.XLOOKUP(D26, Micromod!$D$2:$D$47,Micromod!$A$2:$A$47,"")</f>
        <v>40</v>
      </c>
      <c r="D26" s="239" t="s">
        <v>577</v>
      </c>
      <c r="E26" s="228" t="s">
        <v>1068</v>
      </c>
      <c r="F26" s="229" t="s">
        <v>1069</v>
      </c>
      <c r="G26" s="235" t="s">
        <v>1070</v>
      </c>
      <c r="H26" s="230" t="s">
        <v>1071</v>
      </c>
      <c r="I26" s="233" t="s">
        <v>1072</v>
      </c>
      <c r="J26" s="234" t="s">
        <v>1073</v>
      </c>
      <c r="K26" s="228" t="s">
        <v>1074</v>
      </c>
      <c r="L26" s="228"/>
      <c r="M26" s="228" t="s">
        <v>1075</v>
      </c>
      <c r="N26" s="228"/>
    </row>
    <row r="27" spans="1:14">
      <c r="A27" t="str">
        <f>_xlfn.XLOOKUP(D27,'T4'!$B$2:$B$56,'T4'!$A$2:$A$56,"")</f>
        <v/>
      </c>
      <c r="B27" t="str">
        <f>_xlfn.XLOOKUP(D27,'T4.1 MUX'!$B$2:$B$56,'T4.1 MUX'!$A$2:$A$56,"")</f>
        <v/>
      </c>
      <c r="C27" t="str">
        <f>_xlfn.XLOOKUP(D27, Micromod!$D$2:$D$47,Micromod!$A$2:$A$47,"")</f>
        <v>41</v>
      </c>
      <c r="D27" s="228" t="s">
        <v>578</v>
      </c>
      <c r="E27" s="228" t="s">
        <v>1076</v>
      </c>
      <c r="F27" s="229" t="s">
        <v>1077</v>
      </c>
      <c r="G27" s="235" t="s">
        <v>1108</v>
      </c>
      <c r="H27" s="230" t="s">
        <v>1078</v>
      </c>
      <c r="I27" s="233" t="s">
        <v>1079</v>
      </c>
      <c r="J27" s="234" t="s">
        <v>1080</v>
      </c>
      <c r="K27" s="228" t="s">
        <v>1081</v>
      </c>
      <c r="L27" s="228"/>
      <c r="M27" s="228" t="s">
        <v>1082</v>
      </c>
      <c r="N27" s="228"/>
    </row>
    <row r="28" spans="1:14">
      <c r="A28" t="str">
        <f>_xlfn.XLOOKUP(D28,'T4'!$B$2:$B$56,'T4'!$A$2:$A$56,"")</f>
        <v/>
      </c>
      <c r="B28" t="str">
        <f>_xlfn.XLOOKUP(D28,'T4.1 MUX'!$B$2:$B$56,'T4.1 MUX'!$A$2:$A$56,"")</f>
        <v/>
      </c>
      <c r="C28" t="str">
        <f>_xlfn.XLOOKUP(D28, Micromod!$D$2:$D$47,Micromod!$A$2:$A$47,"")</f>
        <v>42</v>
      </c>
      <c r="D28" s="228" t="s">
        <v>579</v>
      </c>
      <c r="E28" s="228" t="s">
        <v>1083</v>
      </c>
      <c r="F28" s="229" t="s">
        <v>667</v>
      </c>
      <c r="G28" s="229" t="s">
        <v>906</v>
      </c>
      <c r="H28" s="230" t="s">
        <v>1084</v>
      </c>
      <c r="I28" s="233" t="s">
        <v>1085</v>
      </c>
      <c r="J28" s="234" t="s">
        <v>1086</v>
      </c>
      <c r="K28" s="228" t="s">
        <v>1087</v>
      </c>
      <c r="L28" s="228"/>
      <c r="M28" s="228" t="s">
        <v>1088</v>
      </c>
      <c r="N28" s="228"/>
    </row>
    <row r="29" spans="1:14">
      <c r="A29" t="str">
        <f>_xlfn.XLOOKUP(D29,'T4'!$B$2:$B$56,'T4'!$A$2:$A$56,"")</f>
        <v/>
      </c>
      <c r="B29" t="str">
        <f>_xlfn.XLOOKUP(D29,'T4.1 MUX'!$B$2:$B$56,'T4.1 MUX'!$A$2:$A$56,"")</f>
        <v/>
      </c>
      <c r="C29" t="str">
        <f>_xlfn.XLOOKUP(D29, Micromod!$D$2:$D$47,Micromod!$A$2:$A$47,"")</f>
        <v>43</v>
      </c>
      <c r="D29" s="228" t="s">
        <v>580</v>
      </c>
      <c r="E29" s="228" t="s">
        <v>1089</v>
      </c>
      <c r="F29" s="229" t="s">
        <v>672</v>
      </c>
      <c r="G29" s="229" t="s">
        <v>1090</v>
      </c>
      <c r="H29" s="230" t="s">
        <v>1091</v>
      </c>
      <c r="I29" s="233" t="s">
        <v>1092</v>
      </c>
      <c r="J29" s="234" t="s">
        <v>1095</v>
      </c>
      <c r="K29" s="228" t="s">
        <v>1098</v>
      </c>
      <c r="L29" s="228"/>
      <c r="M29" s="228" t="s">
        <v>1099</v>
      </c>
      <c r="N29" s="228"/>
    </row>
    <row r="30" spans="1:14">
      <c r="A30" t="str">
        <f>_xlfn.XLOOKUP(D30,'T4'!$B$2:$B$56,'T4'!$A$2:$A$56,"")</f>
        <v/>
      </c>
      <c r="B30" t="str">
        <f>_xlfn.XLOOKUP(D30,'T4.1 MUX'!$B$2:$B$56,'T4.1 MUX'!$A$2:$A$56,"")</f>
        <v/>
      </c>
      <c r="C30" t="str">
        <f>_xlfn.XLOOKUP(D30, Micromod!$D$2:$D$47,Micromod!$A$2:$A$47,"")</f>
        <v>44</v>
      </c>
      <c r="D30" s="228" t="s">
        <v>581</v>
      </c>
      <c r="E30" s="228" t="s">
        <v>1100</v>
      </c>
      <c r="F30" s="229" t="s">
        <v>685</v>
      </c>
      <c r="G30" s="229" t="s">
        <v>915</v>
      </c>
      <c r="H30" s="232" t="s">
        <v>718</v>
      </c>
      <c r="I30" s="233" t="s">
        <v>1093</v>
      </c>
      <c r="J30" s="234" t="s">
        <v>1096</v>
      </c>
      <c r="K30" s="228" t="s">
        <v>1102</v>
      </c>
      <c r="L30" s="228"/>
      <c r="M30" s="228" t="s">
        <v>1103</v>
      </c>
      <c r="N30" s="228"/>
    </row>
    <row r="31" spans="1:14">
      <c r="A31" t="str">
        <f>_xlfn.XLOOKUP(D31,'T4'!$B$2:$B$56,'T4'!$A$2:$A$56,"")</f>
        <v/>
      </c>
      <c r="B31" t="str">
        <f>_xlfn.XLOOKUP(D31,'T4.1 MUX'!$B$2:$B$56,'T4.1 MUX'!$A$2:$A$56,"")</f>
        <v/>
      </c>
      <c r="C31" t="str">
        <f>_xlfn.XLOOKUP(D31, Micromod!$D$2:$D$47,Micromod!$A$2:$A$47,"")</f>
        <v>45</v>
      </c>
      <c r="D31" s="228" t="s">
        <v>582</v>
      </c>
      <c r="E31" s="228" t="s">
        <v>1101</v>
      </c>
      <c r="F31" s="229" t="s">
        <v>1104</v>
      </c>
      <c r="G31" s="229" t="s">
        <v>1105</v>
      </c>
      <c r="H31" s="232" t="s">
        <v>725</v>
      </c>
      <c r="I31" s="233" t="s">
        <v>1094</v>
      </c>
      <c r="J31" s="234" t="s">
        <v>1097</v>
      </c>
      <c r="K31" s="228" t="s">
        <v>1106</v>
      </c>
      <c r="L31" s="228"/>
      <c r="M31" s="228" t="s">
        <v>1107</v>
      </c>
      <c r="N31" s="228"/>
    </row>
    <row r="32" spans="1:14">
      <c r="A32">
        <f>_xlfn.XLOOKUP(D32,'T4'!$B$2:$B$56,'T4'!$A$2:$A$56,"")</f>
        <v>6</v>
      </c>
      <c r="B32">
        <f>_xlfn.XLOOKUP(D32,'T4.1 MUX'!$B$2:$B$56,'T4.1 MUX'!$A$2:$A$56,"")</f>
        <v>6</v>
      </c>
      <c r="C32" t="str">
        <f>_xlfn.XLOOKUP(D32, Micromod!$D$2:$D$47,Micromod!$A$2:$A$47,"")</f>
        <v>06</v>
      </c>
      <c r="D32" s="228" t="s">
        <v>64</v>
      </c>
      <c r="E32" s="228" t="s">
        <v>824</v>
      </c>
      <c r="F32" s="228" t="s">
        <v>825</v>
      </c>
      <c r="G32" s="229" t="s">
        <v>826</v>
      </c>
      <c r="H32" s="231" t="s">
        <v>827</v>
      </c>
      <c r="I32" s="233" t="s">
        <v>828</v>
      </c>
      <c r="J32" s="234" t="s">
        <v>829</v>
      </c>
      <c r="K32" s="228" t="s">
        <v>830</v>
      </c>
      <c r="L32" s="228"/>
      <c r="M32" s="228" t="s">
        <v>831</v>
      </c>
      <c r="N32" s="228"/>
    </row>
    <row r="33" spans="1:14">
      <c r="A33" t="str">
        <f>_xlfn.XLOOKUP(D33,'T4'!$B$2:$B$56,'T4'!$A$2:$A$56,"")</f>
        <v xml:space="preserve"> 9</v>
      </c>
      <c r="B33" t="str">
        <f>_xlfn.XLOOKUP(D33,'T4.1 MUX'!$B$2:$B$56,'T4.1 MUX'!$A$2:$A$56,"")</f>
        <v xml:space="preserve"> 9</v>
      </c>
      <c r="C33" t="str">
        <f>_xlfn.XLOOKUP(D33, Micromod!$D$2:$D$47,Micromod!$A$2:$A$47,"")</f>
        <v>09</v>
      </c>
      <c r="D33" s="228" t="s">
        <v>69</v>
      </c>
      <c r="E33" s="228" t="s">
        <v>834</v>
      </c>
      <c r="F33" s="228" t="s">
        <v>835</v>
      </c>
      <c r="G33" s="229" t="s">
        <v>836</v>
      </c>
      <c r="H33" s="231" t="s">
        <v>837</v>
      </c>
      <c r="I33" s="233" t="s">
        <v>832</v>
      </c>
      <c r="J33" s="234" t="s">
        <v>833</v>
      </c>
      <c r="K33" s="228" t="s">
        <v>838</v>
      </c>
      <c r="L33" s="228"/>
      <c r="M33" s="228" t="s">
        <v>839</v>
      </c>
      <c r="N33" s="228"/>
    </row>
    <row r="34" spans="1:14">
      <c r="A34" t="str">
        <f>_xlfn.XLOOKUP(D34,'T4'!$B$2:$B$56,'T4'!$A$2:$A$56,"")</f>
        <v>32</v>
      </c>
      <c r="B34" t="str">
        <f>_xlfn.XLOOKUP(D34,'T4.1 MUX'!$B$2:$B$56,'T4.1 MUX'!$A$2:$A$56,"")</f>
        <v>32</v>
      </c>
      <c r="C34" t="str">
        <f>_xlfn.XLOOKUP(D34, Micromod!$D$2:$D$47,Micromod!$A$2:$A$47,"")</f>
        <v>32</v>
      </c>
      <c r="D34" s="228" t="s">
        <v>187</v>
      </c>
      <c r="E34" s="228" t="s">
        <v>840</v>
      </c>
      <c r="F34" s="230" t="s">
        <v>841</v>
      </c>
      <c r="G34" s="228" t="s">
        <v>842</v>
      </c>
      <c r="H34" s="231" t="s">
        <v>843</v>
      </c>
      <c r="I34" s="233" t="s">
        <v>844</v>
      </c>
      <c r="J34" s="234" t="s">
        <v>845</v>
      </c>
      <c r="K34" s="228" t="s">
        <v>846</v>
      </c>
      <c r="L34" s="228"/>
      <c r="M34" s="228" t="s">
        <v>847</v>
      </c>
      <c r="N34" s="228"/>
    </row>
    <row r="35" spans="1:14">
      <c r="A35">
        <f>_xlfn.XLOOKUP(D35,'T4'!$B$2:$B$56,'T4'!$A$2:$A$56,"")</f>
        <v>8</v>
      </c>
      <c r="B35">
        <f>_xlfn.XLOOKUP(D35,'T4.1 MUX'!$B$2:$B$56,'T4.1 MUX'!$A$2:$A$56,"")</f>
        <v>8</v>
      </c>
      <c r="C35" t="str">
        <f>_xlfn.XLOOKUP(D35, Micromod!$D$2:$D$47,Micromod!$A$2:$A$47,"")</f>
        <v>08</v>
      </c>
      <c r="D35" s="228" t="s">
        <v>59</v>
      </c>
      <c r="E35" s="228" t="s">
        <v>848</v>
      </c>
      <c r="F35" s="230" t="s">
        <v>849</v>
      </c>
      <c r="G35" s="232" t="s">
        <v>850</v>
      </c>
      <c r="H35" s="231" t="s">
        <v>766</v>
      </c>
      <c r="I35" s="233" t="s">
        <v>851</v>
      </c>
      <c r="J35" s="234" t="s">
        <v>852</v>
      </c>
      <c r="K35" s="229" t="s">
        <v>853</v>
      </c>
      <c r="L35" s="228"/>
      <c r="M35" s="228" t="s">
        <v>854</v>
      </c>
      <c r="N35" s="233" t="s">
        <v>855</v>
      </c>
    </row>
    <row r="36" spans="1:14">
      <c r="A36">
        <f>_xlfn.XLOOKUP(D36,'T4'!$B$2:$B$56,'T4'!$A$2:$A$56,"")</f>
        <v>7</v>
      </c>
      <c r="B36">
        <f>_xlfn.XLOOKUP(D36,'T4.1 MUX'!$B$2:$B$56,'T4.1 MUX'!$A$2:$A$56,"")</f>
        <v>7</v>
      </c>
      <c r="C36" t="str">
        <f>_xlfn.XLOOKUP(D36, Micromod!$D$2:$D$47,Micromod!$A$2:$A$47,"")</f>
        <v>07</v>
      </c>
      <c r="D36" s="228" t="s">
        <v>54</v>
      </c>
      <c r="E36" s="228" t="s">
        <v>856</v>
      </c>
      <c r="F36" s="230" t="s">
        <v>857</v>
      </c>
      <c r="G36" s="232" t="s">
        <v>858</v>
      </c>
      <c r="H36" s="231" t="s">
        <v>775</v>
      </c>
      <c r="I36" s="233" t="s">
        <v>859</v>
      </c>
      <c r="J36" s="234" t="s">
        <v>860</v>
      </c>
      <c r="K36" s="229" t="s">
        <v>861</v>
      </c>
      <c r="L36" s="228"/>
      <c r="M36" s="228" t="s">
        <v>862</v>
      </c>
      <c r="N36" s="233" t="s">
        <v>863</v>
      </c>
    </row>
    <row r="37" spans="1:14">
      <c r="A37" t="str">
        <f>_xlfn.XLOOKUP(D37,'T4'!$B$2:$B$56,'T4'!$A$2:$A$56,"")</f>
        <v/>
      </c>
      <c r="B37" t="str">
        <f>_xlfn.XLOOKUP(D37,'T4.1 MUX'!$B$2:$B$56,'T4.1 MUX'!$A$2:$A$56,"")</f>
        <v>36</v>
      </c>
      <c r="C37" t="str">
        <f>_xlfn.XLOOKUP(D37, Micromod!$D$2:$D$47,Micromod!$A$2:$A$47,"")</f>
        <v/>
      </c>
      <c r="D37" s="209" t="s">
        <v>289</v>
      </c>
      <c r="E37" s="209" t="s">
        <v>868</v>
      </c>
      <c r="F37" s="212" t="s">
        <v>645</v>
      </c>
      <c r="G37" s="218" t="s">
        <v>869</v>
      </c>
      <c r="H37" s="209" t="s">
        <v>785</v>
      </c>
      <c r="I37" s="221" t="s">
        <v>867</v>
      </c>
      <c r="J37" s="224" t="s">
        <v>866</v>
      </c>
      <c r="K37" s="214" t="s">
        <v>870</v>
      </c>
      <c r="L37" s="209"/>
      <c r="M37" s="209" t="s">
        <v>865</v>
      </c>
      <c r="N37" s="221" t="s">
        <v>864</v>
      </c>
    </row>
    <row r="38" spans="1:14">
      <c r="A38" t="str">
        <f>_xlfn.XLOOKUP(D38,'T4'!$B$2:$B$56,'T4'!$A$2:$A$56,"")</f>
        <v/>
      </c>
      <c r="B38" t="str">
        <f>_xlfn.XLOOKUP(D38,'T4.1 MUX'!$B$2:$B$56,'T4.1 MUX'!$A$2:$A$56,"")</f>
        <v>37</v>
      </c>
      <c r="C38" t="str">
        <f>_xlfn.XLOOKUP(D38, Micromod!$D$2:$D$47,Micromod!$A$2:$A$47,"")</f>
        <v/>
      </c>
      <c r="D38" s="208" t="s">
        <v>290</v>
      </c>
      <c r="E38" s="208" t="s">
        <v>871</v>
      </c>
      <c r="F38" s="212" t="s">
        <v>639</v>
      </c>
      <c r="G38" s="218" t="s">
        <v>877</v>
      </c>
      <c r="H38" s="208" t="s">
        <v>795</v>
      </c>
      <c r="I38" s="221" t="s">
        <v>872</v>
      </c>
      <c r="J38" s="224" t="s">
        <v>873</v>
      </c>
      <c r="K38" s="214" t="s">
        <v>876</v>
      </c>
      <c r="L38" s="208"/>
      <c r="M38" s="208" t="s">
        <v>875</v>
      </c>
      <c r="N38" s="221" t="s">
        <v>874</v>
      </c>
    </row>
    <row r="39" spans="1:14">
      <c r="A39" t="str">
        <f>_xlfn.XLOOKUP(D39,'T4'!$B$2:$B$56,'T4'!$A$2:$A$56,"")</f>
        <v/>
      </c>
      <c r="B39" t="str">
        <f>_xlfn.XLOOKUP(D39,'T4.1 MUX'!$B$2:$B$56,'T4.1 MUX'!$A$2:$A$56,"")</f>
        <v>35</v>
      </c>
      <c r="C39" t="str">
        <f>_xlfn.XLOOKUP(D39, Micromod!$D$2:$D$47,Micromod!$A$2:$A$47,"")</f>
        <v/>
      </c>
      <c r="D39" s="208" t="s">
        <v>288</v>
      </c>
      <c r="E39" s="208"/>
      <c r="F39" s="216" t="s">
        <v>878</v>
      </c>
      <c r="G39" s="208" t="s">
        <v>547</v>
      </c>
      <c r="H39" s="208" t="s">
        <v>879</v>
      </c>
      <c r="I39" s="221" t="s">
        <v>884</v>
      </c>
      <c r="J39" s="224" t="s">
        <v>880</v>
      </c>
      <c r="K39" s="226" t="s">
        <v>689</v>
      </c>
      <c r="L39" s="208"/>
      <c r="M39" s="208"/>
      <c r="N39" s="221" t="s">
        <v>881</v>
      </c>
    </row>
    <row r="40" spans="1:14">
      <c r="A40" t="str">
        <f>_xlfn.XLOOKUP(D40,'T4'!$B$2:$B$56,'T4'!$A$2:$A$56,"")</f>
        <v/>
      </c>
      <c r="B40" t="str">
        <f>_xlfn.XLOOKUP(D40,'T4.1 MUX'!$B$2:$B$56,'T4.1 MUX'!$A$2:$A$56,"")</f>
        <v>34</v>
      </c>
      <c r="C40" t="str">
        <f>_xlfn.XLOOKUP(D40, Micromod!$D$2:$D$47,Micromod!$A$2:$A$47,"")</f>
        <v/>
      </c>
      <c r="D40" s="209" t="s">
        <v>287</v>
      </c>
      <c r="E40" s="209" t="s">
        <v>670</v>
      </c>
      <c r="F40" s="216" t="s">
        <v>882</v>
      </c>
      <c r="G40" s="209" t="s">
        <v>548</v>
      </c>
      <c r="H40" s="209" t="s">
        <v>883</v>
      </c>
      <c r="I40" s="221" t="s">
        <v>885</v>
      </c>
      <c r="J40" s="224" t="s">
        <v>886</v>
      </c>
      <c r="K40" s="226" t="s">
        <v>887</v>
      </c>
      <c r="L40" s="209"/>
      <c r="M40" s="209" t="s">
        <v>888</v>
      </c>
      <c r="N40" s="221" t="s">
        <v>889</v>
      </c>
    </row>
    <row r="41" spans="1:14">
      <c r="A41" t="str">
        <f>_xlfn.XLOOKUP(D41,'T4'!$B$2:$B$56,'T4'!$A$2:$A$56,"")</f>
        <v xml:space="preserve"> 2</v>
      </c>
      <c r="B41" t="str">
        <f>_xlfn.XLOOKUP(D41,'T4.1 MUX'!$B$2:$B$56,'T4.1 MUX'!$A$2:$A$56,"")</f>
        <v xml:space="preserve"> 2</v>
      </c>
      <c r="C41" t="str">
        <f>_xlfn.XLOOKUP(D41, Micromod!$D$2:$D$47,Micromod!$A$2:$A$47,"")</f>
        <v>02</v>
      </c>
      <c r="D41" s="228" t="s">
        <v>29</v>
      </c>
      <c r="E41" s="228" t="s">
        <v>890</v>
      </c>
      <c r="F41" s="229" t="s">
        <v>891</v>
      </c>
      <c r="G41" s="231" t="s">
        <v>892</v>
      </c>
      <c r="H41" s="230" t="s">
        <v>893</v>
      </c>
      <c r="I41" s="233" t="s">
        <v>894</v>
      </c>
      <c r="J41" s="234" t="s">
        <v>895</v>
      </c>
      <c r="K41" s="228"/>
      <c r="L41" s="228"/>
      <c r="M41" s="228"/>
      <c r="N41" s="228"/>
    </row>
    <row r="42" spans="1:14">
      <c r="A42" t="str">
        <f>_xlfn.XLOOKUP(D42,'T4'!$B$2:$B$56,'T4'!$A$2:$A$56,"")</f>
        <v xml:space="preserve"> 3</v>
      </c>
      <c r="B42" t="str">
        <f>_xlfn.XLOOKUP(D42,'T4.1 MUX'!$B$2:$B$56,'T4.1 MUX'!$A$2:$A$56,"")</f>
        <v xml:space="preserve"> 3</v>
      </c>
      <c r="C42" t="str">
        <f>_xlfn.XLOOKUP(D42, Micromod!$D$2:$D$47,Micromod!$A$2:$A$47,"")</f>
        <v>03</v>
      </c>
      <c r="D42" s="228" t="s">
        <v>36</v>
      </c>
      <c r="E42" s="228" t="s">
        <v>896</v>
      </c>
      <c r="F42" s="229" t="s">
        <v>900</v>
      </c>
      <c r="G42" s="231" t="s">
        <v>901</v>
      </c>
      <c r="H42" s="230" t="s">
        <v>897</v>
      </c>
      <c r="I42" s="233" t="s">
        <v>898</v>
      </c>
      <c r="J42" s="234" t="s">
        <v>899</v>
      </c>
      <c r="K42" s="228"/>
      <c r="L42" s="228"/>
      <c r="M42" s="228"/>
      <c r="N42" s="228"/>
    </row>
    <row r="43" spans="1:14">
      <c r="A43" t="str">
        <f>_xlfn.XLOOKUP(D43,'T4'!$B$2:$B$56,'T4'!$A$2:$A$56,"")</f>
        <v xml:space="preserve"> 3</v>
      </c>
      <c r="B43" t="str">
        <f>_xlfn.XLOOKUP(D43,'T4.1 MUX'!$B$2:$B$56,'T4.1 MUX'!$A$2:$A$56,"")</f>
        <v xml:space="preserve"> 3</v>
      </c>
      <c r="C43" t="str">
        <f>_xlfn.XLOOKUP(D43, Micromod!$D$2:$D$47,Micromod!$A$2:$A$47,"")</f>
        <v>03</v>
      </c>
      <c r="D43" s="208" t="s">
        <v>36</v>
      </c>
      <c r="E43" s="208" t="s">
        <v>896</v>
      </c>
      <c r="F43" s="214" t="s">
        <v>1297</v>
      </c>
      <c r="G43" s="219" t="s">
        <v>901</v>
      </c>
      <c r="H43" s="212" t="s">
        <v>897</v>
      </c>
      <c r="I43" s="221" t="s">
        <v>898</v>
      </c>
      <c r="J43" s="224" t="s">
        <v>899</v>
      </c>
      <c r="K43" s="208"/>
      <c r="L43" s="208"/>
      <c r="M43" s="208"/>
      <c r="N43" s="208"/>
    </row>
    <row r="44" spans="1:14">
      <c r="A44" t="str">
        <f>_xlfn.XLOOKUP(D44,'T4'!$B$2:$B$56,'T4'!$A$2:$A$56,"")</f>
        <v xml:space="preserve"> 4</v>
      </c>
      <c r="B44" t="str">
        <f>_xlfn.XLOOKUP(D44,'T4.1 MUX'!$B$2:$B$56,'T4.1 MUX'!$A$2:$A$56,"")</f>
        <v xml:space="preserve"> 4</v>
      </c>
      <c r="C44" t="str">
        <f>_xlfn.XLOOKUP(D44, Micromod!$D$2:$D$47,Micromod!$A$2:$A$47,"")</f>
        <v>04</v>
      </c>
      <c r="D44" s="228" t="s">
        <v>43</v>
      </c>
      <c r="E44" s="228" t="s">
        <v>902</v>
      </c>
      <c r="F44" s="229" t="s">
        <v>906</v>
      </c>
      <c r="G44" s="231" t="s">
        <v>905</v>
      </c>
      <c r="H44" s="230" t="s">
        <v>904</v>
      </c>
      <c r="I44" s="233" t="s">
        <v>903</v>
      </c>
      <c r="J44" s="234" t="s">
        <v>910</v>
      </c>
      <c r="K44" s="228"/>
      <c r="L44" s="228"/>
      <c r="M44" s="228"/>
      <c r="N44" s="228"/>
    </row>
    <row r="45" spans="1:14">
      <c r="A45" t="str">
        <f>_xlfn.XLOOKUP(D45,'T4'!$B$2:$B$56,'T4'!$A$2:$A$56,"")</f>
        <v>33</v>
      </c>
      <c r="B45" t="str">
        <f>_xlfn.XLOOKUP(D45,'T4.1 MUX'!$B$2:$B$56,'T4.1 MUX'!$A$2:$A$56,"")</f>
        <v>33</v>
      </c>
      <c r="C45" t="str">
        <f>_xlfn.XLOOKUP(D45, Micromod!$D$2:$D$47,Micromod!$A$2:$A$47,"")</f>
        <v>33</v>
      </c>
      <c r="D45" s="228" t="s">
        <v>49</v>
      </c>
      <c r="E45" s="228" t="s">
        <v>907</v>
      </c>
      <c r="F45" s="229" t="s">
        <v>912</v>
      </c>
      <c r="G45" s="231" t="s">
        <v>913</v>
      </c>
      <c r="H45" s="230" t="s">
        <v>908</v>
      </c>
      <c r="I45" s="233" t="s">
        <v>909</v>
      </c>
      <c r="J45" s="234" t="s">
        <v>911</v>
      </c>
      <c r="K45" s="228"/>
      <c r="L45" s="228"/>
      <c r="M45" s="228"/>
      <c r="N45" s="228"/>
    </row>
    <row r="46" spans="1:14">
      <c r="A46">
        <f>_xlfn.XLOOKUP(D46,'T4'!$B$2:$B$56,'T4'!$A$2:$A$56,"")</f>
        <v>5</v>
      </c>
      <c r="B46">
        <f>_xlfn.XLOOKUP(D46,'T4.1 MUX'!$B$2:$B$56,'T4.1 MUX'!$A$2:$A$56,"")</f>
        <v>5</v>
      </c>
      <c r="C46" t="str">
        <f>_xlfn.XLOOKUP(D46, Micromod!$D$2:$D$47,Micromod!$A$2:$A$47,"")</f>
        <v>05</v>
      </c>
      <c r="D46" s="228" t="s">
        <v>193</v>
      </c>
      <c r="E46" s="228" t="s">
        <v>914</v>
      </c>
      <c r="F46" s="229" t="s">
        <v>915</v>
      </c>
      <c r="G46" s="231" t="s">
        <v>916</v>
      </c>
      <c r="H46" s="230" t="s">
        <v>639</v>
      </c>
      <c r="I46" s="233" t="s">
        <v>917</v>
      </c>
      <c r="J46" s="234" t="s">
        <v>918</v>
      </c>
      <c r="K46" s="228"/>
      <c r="L46" s="228"/>
      <c r="M46" s="228"/>
      <c r="N46" s="228"/>
    </row>
    <row r="47" spans="1:14">
      <c r="A47" t="str">
        <f>_xlfn.XLOOKUP(D47,'T4'!$B$2:$B$56,'T4'!$A$2:$A$56,"")</f>
        <v/>
      </c>
      <c r="B47" t="str">
        <f>_xlfn.XLOOKUP(D47,'T4.1 MUX'!$B$2:$B$56,'T4.1 MUX'!$A$2:$A$56,"")</f>
        <v>51</v>
      </c>
      <c r="C47" t="str">
        <f>_xlfn.XLOOKUP(D47, Micromod!$D$2:$D$47,Micromod!$A$2:$A$47,"")</f>
        <v/>
      </c>
      <c r="D47" s="208" t="s">
        <v>320</v>
      </c>
      <c r="E47" s="208" t="s">
        <v>919</v>
      </c>
      <c r="F47" s="214" t="s">
        <v>920</v>
      </c>
      <c r="G47" s="210" t="s">
        <v>724</v>
      </c>
      <c r="H47" s="208" t="s">
        <v>921</v>
      </c>
      <c r="I47" s="208" t="s">
        <v>922</v>
      </c>
      <c r="J47" s="224" t="s">
        <v>923</v>
      </c>
      <c r="K47" s="208"/>
      <c r="L47" s="208"/>
      <c r="M47" s="208" t="s">
        <v>924</v>
      </c>
      <c r="N47" s="208"/>
    </row>
    <row r="48" spans="1:14">
      <c r="A48" t="str">
        <f>_xlfn.XLOOKUP(D48,'T4'!$B$2:$B$56,'T4'!$A$2:$A$56,"")</f>
        <v/>
      </c>
      <c r="B48" t="str">
        <f>_xlfn.XLOOKUP(D48,'T4.1 MUX'!$B$2:$B$56,'T4.1 MUX'!$A$2:$A$56,"")</f>
        <v>48</v>
      </c>
      <c r="C48" t="str">
        <f>_xlfn.XLOOKUP(D48, Micromod!$D$2:$D$47,Micromod!$A$2:$A$47,"")</f>
        <v/>
      </c>
      <c r="D48" s="209" t="s">
        <v>181</v>
      </c>
      <c r="E48" s="209" t="s">
        <v>925</v>
      </c>
      <c r="F48" s="214" t="s">
        <v>926</v>
      </c>
      <c r="G48" s="216" t="s">
        <v>882</v>
      </c>
      <c r="H48" s="209" t="s">
        <v>927</v>
      </c>
      <c r="I48" s="209" t="s">
        <v>928</v>
      </c>
      <c r="J48" s="224" t="s">
        <v>933</v>
      </c>
      <c r="K48" s="209"/>
      <c r="L48" s="209"/>
      <c r="M48" s="209" t="s">
        <v>368</v>
      </c>
      <c r="N48" s="209"/>
    </row>
    <row r="49" spans="1:14">
      <c r="A49" t="str">
        <f>_xlfn.XLOOKUP(D49,'T4'!$B$2:$B$56,'T4'!$A$2:$A$56,"")</f>
        <v/>
      </c>
      <c r="B49" t="str">
        <f>_xlfn.XLOOKUP(D49,'T4.1 MUX'!$B$2:$B$56,'T4.1 MUX'!$A$2:$A$56,"")</f>
        <v>53</v>
      </c>
      <c r="C49" t="str">
        <f>_xlfn.XLOOKUP(D49, Micromod!$D$2:$D$47,Micromod!$A$2:$A$47,"")</f>
        <v/>
      </c>
      <c r="D49" s="208" t="s">
        <v>321</v>
      </c>
      <c r="E49" s="208" t="s">
        <v>929</v>
      </c>
      <c r="F49" s="214" t="s">
        <v>930</v>
      </c>
      <c r="G49" s="216" t="s">
        <v>646</v>
      </c>
      <c r="H49" s="208" t="s">
        <v>931</v>
      </c>
      <c r="I49" s="208" t="s">
        <v>932</v>
      </c>
      <c r="J49" s="224" t="s">
        <v>934</v>
      </c>
      <c r="K49" s="208"/>
      <c r="L49" s="208"/>
      <c r="M49" s="208" t="s">
        <v>369</v>
      </c>
      <c r="N49" s="208"/>
    </row>
    <row r="50" spans="1:14">
      <c r="A50" t="str">
        <f>_xlfn.XLOOKUP(D50,'T4'!$B$2:$B$56,'T4'!$A$2:$A$56,"")</f>
        <v/>
      </c>
      <c r="B50" t="str">
        <f>_xlfn.XLOOKUP(D50,'T4.1 MUX'!$B$2:$B$56,'T4.1 MUX'!$A$2:$A$56,"")</f>
        <v>52</v>
      </c>
      <c r="C50" t="str">
        <f>_xlfn.XLOOKUP(D50, Micromod!$D$2:$D$47,Micromod!$A$2:$A$47,"")</f>
        <v/>
      </c>
      <c r="D50" s="199" t="s">
        <v>322</v>
      </c>
      <c r="E50" s="199" t="s">
        <v>936</v>
      </c>
      <c r="F50" s="201" t="s">
        <v>937</v>
      </c>
      <c r="G50" s="200" t="s">
        <v>638</v>
      </c>
      <c r="H50" s="199" t="s">
        <v>938</v>
      </c>
      <c r="I50" s="207" t="s">
        <v>939</v>
      </c>
      <c r="J50" s="202" t="s">
        <v>940</v>
      </c>
      <c r="K50" s="199"/>
      <c r="L50" s="199"/>
      <c r="M50" s="199" t="s">
        <v>370</v>
      </c>
      <c r="N50" s="204"/>
    </row>
    <row r="51" spans="1:14">
      <c r="A51" t="str">
        <f>_xlfn.XLOOKUP(D51,'T4'!$B$2:$B$56,'T4'!$A$2:$A$56,"")</f>
        <v/>
      </c>
      <c r="B51" t="str">
        <f>_xlfn.XLOOKUP(D51,'T4.1 MUX'!$B$2:$B$56,'T4.1 MUX'!$A$2:$A$56,"")</f>
        <v>49</v>
      </c>
      <c r="C51" t="str">
        <f>_xlfn.XLOOKUP(D51, Micromod!$D$2:$D$47,Micromod!$A$2:$A$47,"")</f>
        <v/>
      </c>
      <c r="D51" s="205" t="s">
        <v>323</v>
      </c>
      <c r="E51" s="205" t="s">
        <v>948</v>
      </c>
      <c r="F51" s="201" t="s">
        <v>947</v>
      </c>
      <c r="G51" s="200" t="s">
        <v>946</v>
      </c>
      <c r="H51" s="203" t="s">
        <v>945</v>
      </c>
      <c r="I51" s="207" t="s">
        <v>944</v>
      </c>
      <c r="J51" s="202" t="s">
        <v>935</v>
      </c>
      <c r="K51" s="205"/>
      <c r="L51" s="205"/>
      <c r="M51" s="205" t="s">
        <v>943</v>
      </c>
      <c r="N51" s="206"/>
    </row>
    <row r="52" spans="1:14">
      <c r="A52" t="str">
        <f>_xlfn.XLOOKUP(D52,'T4'!$B$2:$B$56,'T4'!$A$2:$A$56,"")</f>
        <v/>
      </c>
      <c r="B52" t="str">
        <f>_xlfn.XLOOKUP(D52,'T4.1 MUX'!$B$2:$B$56,'T4.1 MUX'!$A$2:$A$56,"")</f>
        <v>50</v>
      </c>
      <c r="C52" t="str">
        <f>_xlfn.XLOOKUP(D52, Micromod!$D$2:$D$47,Micromod!$A$2:$A$47,"")</f>
        <v/>
      </c>
      <c r="D52" s="199" t="s">
        <v>324</v>
      </c>
      <c r="E52" s="199" t="s">
        <v>949</v>
      </c>
      <c r="F52" s="201" t="s">
        <v>950</v>
      </c>
      <c r="G52" s="200" t="s">
        <v>951</v>
      </c>
      <c r="H52" s="203" t="s">
        <v>952</v>
      </c>
      <c r="I52" s="207" t="s">
        <v>953</v>
      </c>
      <c r="J52" s="202" t="s">
        <v>941</v>
      </c>
      <c r="K52" s="199"/>
      <c r="L52" s="199"/>
      <c r="M52" s="199" t="s">
        <v>954</v>
      </c>
      <c r="N52" s="204"/>
    </row>
    <row r="53" spans="1:14">
      <c r="A53" t="str">
        <f>_xlfn.XLOOKUP(D53,'T4'!$B$2:$B$56,'T4'!$A$2:$A$56,"")</f>
        <v/>
      </c>
      <c r="B53" t="str">
        <f>_xlfn.XLOOKUP(D53,'T4.1 MUX'!$B$2:$B$56,'T4.1 MUX'!$A$2:$A$56,"")</f>
        <v>54</v>
      </c>
      <c r="C53" t="str">
        <f>_xlfn.XLOOKUP(D53, Micromod!$D$2:$D$47,Micromod!$A$2:$A$47,"")</f>
        <v/>
      </c>
      <c r="D53" s="199" t="s">
        <v>325</v>
      </c>
      <c r="E53" s="199" t="s">
        <v>957</v>
      </c>
      <c r="F53" s="201" t="s">
        <v>958</v>
      </c>
      <c r="G53" s="200" t="s">
        <v>959</v>
      </c>
      <c r="H53" s="203" t="s">
        <v>960</v>
      </c>
      <c r="I53" s="207" t="s">
        <v>956</v>
      </c>
      <c r="J53" s="202" t="s">
        <v>942</v>
      </c>
      <c r="K53" s="199"/>
      <c r="L53" s="199"/>
      <c r="M53" s="199" t="s">
        <v>955</v>
      </c>
      <c r="N53" s="204"/>
    </row>
    <row r="54" spans="1:14">
      <c r="A54" t="str">
        <f>_xlfn.XLOOKUP(D54,'T4'!$B$2:$B$56,'T4'!$A$2:$A$56,"")</f>
        <v>29</v>
      </c>
      <c r="B54" t="str">
        <f>_xlfn.XLOOKUP(D54,'T4.1 MUX'!$B$2:$B$56,'T4.1 MUX'!$A$2:$A$56,"")</f>
        <v>29</v>
      </c>
      <c r="C54" t="str">
        <f>_xlfn.XLOOKUP(D54, Micromod!$D$2:$D$47,Micromod!$A$2:$A$47,"")</f>
        <v>29</v>
      </c>
      <c r="D54" s="7" t="s">
        <v>177</v>
      </c>
      <c r="E54" s="7" t="s">
        <v>961</v>
      </c>
      <c r="F54" s="213" t="s">
        <v>962</v>
      </c>
      <c r="G54" s="217" t="s">
        <v>963</v>
      </c>
      <c r="H54" s="7" t="s">
        <v>964</v>
      </c>
      <c r="I54" s="7" t="s">
        <v>965</v>
      </c>
      <c r="J54" s="225" t="s">
        <v>966</v>
      </c>
      <c r="K54" s="7"/>
      <c r="L54" s="7"/>
      <c r="M54" s="7" t="s">
        <v>967</v>
      </c>
      <c r="N54" s="8"/>
    </row>
    <row r="55" spans="1:14">
      <c r="A55" t="str">
        <f>_xlfn.XLOOKUP(D55,'T4'!$B$2:$B$56,'T4'!$A$2:$A$56,"")</f>
        <v>28</v>
      </c>
      <c r="B55" t="str">
        <f>_xlfn.XLOOKUP(D55,'T4.1 MUX'!$B$2:$B$56,'T4.1 MUX'!$A$2:$A$56,"")</f>
        <v>28</v>
      </c>
      <c r="C55" t="str">
        <f>_xlfn.XLOOKUP(D55, Micromod!$D$2:$D$47,Micromod!$A$2:$A$47,"")</f>
        <v>28</v>
      </c>
      <c r="D55" s="7" t="s">
        <v>173</v>
      </c>
      <c r="E55" s="7" t="s">
        <v>968</v>
      </c>
      <c r="F55" s="213" t="s">
        <v>969</v>
      </c>
      <c r="G55" s="217" t="s">
        <v>970</v>
      </c>
      <c r="H55" s="7" t="s">
        <v>971</v>
      </c>
      <c r="I55" s="7" t="s">
        <v>972</v>
      </c>
      <c r="J55" s="225" t="s">
        <v>973</v>
      </c>
      <c r="K55" s="7"/>
      <c r="L55" s="7"/>
      <c r="M55" s="7" t="s">
        <v>974</v>
      </c>
      <c r="N55" s="8"/>
    </row>
    <row r="56" spans="1:14">
      <c r="A56" t="str">
        <f>_xlfn.XLOOKUP(D56,'T4'!$B$2:$B$56,'T4'!$A$2:$A$56,"")</f>
        <v>31</v>
      </c>
      <c r="B56" t="str">
        <f>_xlfn.XLOOKUP(D56,'T4.1 MUX'!$B$2:$B$56,'T4.1 MUX'!$A$2:$A$56,"")</f>
        <v>31</v>
      </c>
      <c r="C56" t="str">
        <f>_xlfn.XLOOKUP(D56, Micromod!$D$2:$D$47,Micromod!$A$2:$A$47,"")</f>
        <v>31</v>
      </c>
      <c r="D56" s="7" t="s">
        <v>202</v>
      </c>
      <c r="E56" s="7" t="s">
        <v>975</v>
      </c>
      <c r="F56" s="215" t="s">
        <v>976</v>
      </c>
      <c r="G56" s="7" t="s">
        <v>977</v>
      </c>
      <c r="H56" s="7" t="s">
        <v>978</v>
      </c>
      <c r="I56" s="7" t="s">
        <v>979</v>
      </c>
      <c r="J56" s="225" t="s">
        <v>980</v>
      </c>
      <c r="K56" s="211" t="s">
        <v>887</v>
      </c>
      <c r="L56" s="7"/>
      <c r="M56" s="7" t="s">
        <v>865</v>
      </c>
      <c r="N56" s="227" t="s">
        <v>981</v>
      </c>
    </row>
    <row r="57" spans="1:14">
      <c r="A57" t="str">
        <f>_xlfn.XLOOKUP(D57,'T4'!$B$2:$B$56,'T4'!$A$2:$A$56,"")</f>
        <v>30</v>
      </c>
      <c r="B57" t="str">
        <f>_xlfn.XLOOKUP(D57,'T4.1 MUX'!$B$2:$B$56,'T4.1 MUX'!$A$2:$A$56,"")</f>
        <v>30</v>
      </c>
      <c r="C57" t="str">
        <f>_xlfn.XLOOKUP(D57, Micromod!$D$2:$D$47,Micromod!$A$2:$A$47,"")</f>
        <v>30</v>
      </c>
      <c r="D57" s="7" t="s">
        <v>198</v>
      </c>
      <c r="E57" s="7" t="s">
        <v>982</v>
      </c>
      <c r="F57" s="215" t="s">
        <v>983</v>
      </c>
      <c r="G57" s="7" t="s">
        <v>984</v>
      </c>
      <c r="H57" s="7" t="s">
        <v>985</v>
      </c>
      <c r="I57" s="7" t="s">
        <v>986</v>
      </c>
      <c r="J57" s="225" t="s">
        <v>987</v>
      </c>
      <c r="K57" s="7" t="s">
        <v>751</v>
      </c>
      <c r="L57" s="7"/>
      <c r="M57" s="7" t="s">
        <v>875</v>
      </c>
      <c r="N57" s="227" t="s">
        <v>988</v>
      </c>
    </row>
    <row r="58" spans="1:14">
      <c r="A58">
        <f>_xlfn.XLOOKUP(D58,'T4'!$B$2:$B$56,'T4'!$A$2:$A$56,"")</f>
        <v>37</v>
      </c>
      <c r="B58" t="str">
        <f>_xlfn.XLOOKUP(D58,'T4.1 MUX'!$B$2:$B$56,'T4.1 MUX'!$A$2:$A$56,"")</f>
        <v>45</v>
      </c>
      <c r="C58" t="str">
        <f>_xlfn.XLOOKUP(D58, Micromod!$D$2:$D$47,Micromod!$A$2:$A$47,"")</f>
        <v>37</v>
      </c>
      <c r="D58" s="7" t="s">
        <v>219</v>
      </c>
      <c r="E58" s="211" t="s">
        <v>989</v>
      </c>
      <c r="F58" s="213" t="s">
        <v>990</v>
      </c>
      <c r="G58" s="220" t="s">
        <v>724</v>
      </c>
      <c r="H58" s="215" t="s">
        <v>991</v>
      </c>
      <c r="I58" s="223" t="s">
        <v>945</v>
      </c>
      <c r="J58" s="225" t="s">
        <v>992</v>
      </c>
      <c r="K58" s="7" t="s">
        <v>731</v>
      </c>
      <c r="L58" s="7"/>
      <c r="M58" s="7" t="s">
        <v>974</v>
      </c>
      <c r="N58" s="8" t="s">
        <v>888</v>
      </c>
    </row>
    <row r="59" spans="1:14">
      <c r="A59">
        <f>_xlfn.XLOOKUP(D59,'T4'!$B$2:$B$56,'T4'!$A$2:$A$56,"")</f>
        <v>36</v>
      </c>
      <c r="B59" t="str">
        <f>_xlfn.XLOOKUP(D59,'T4.1 MUX'!$B$2:$B$56,'T4.1 MUX'!$A$2:$A$56,"")</f>
        <v>44</v>
      </c>
      <c r="C59" t="str">
        <f>_xlfn.XLOOKUP(D59, Micromod!$D$2:$D$47,Micromod!$A$2:$A$47,"")</f>
        <v>36</v>
      </c>
      <c r="D59" s="7" t="s">
        <v>220</v>
      </c>
      <c r="E59" s="211" t="s">
        <v>993</v>
      </c>
      <c r="F59" s="213" t="s">
        <v>926</v>
      </c>
      <c r="G59" s="220" t="s">
        <v>717</v>
      </c>
      <c r="H59" s="215" t="s">
        <v>994</v>
      </c>
      <c r="I59" s="223" t="s">
        <v>995</v>
      </c>
      <c r="J59" s="225" t="s">
        <v>996</v>
      </c>
      <c r="K59" s="7" t="s">
        <v>997</v>
      </c>
      <c r="L59" s="7"/>
      <c r="M59" s="7" t="s">
        <v>998</v>
      </c>
      <c r="N59" s="8" t="s">
        <v>999</v>
      </c>
    </row>
    <row r="60" spans="1:14">
      <c r="A60" t="str">
        <f>_xlfn.XLOOKUP(D60,'T4'!$B$2:$B$56,'T4'!$A$2:$A$56,"")</f>
        <v>35</v>
      </c>
      <c r="B60" t="str">
        <f>_xlfn.XLOOKUP(D60,'T4.1 MUX'!$B$2:$B$56,'T4.1 MUX'!$A$2:$A$56,"")</f>
        <v>43</v>
      </c>
      <c r="C60" t="str">
        <f>_xlfn.XLOOKUP(D60, Micromod!$D$2:$D$47,Micromod!$A$2:$A$47,"")</f>
        <v>35</v>
      </c>
      <c r="D60" s="7" t="s">
        <v>221</v>
      </c>
      <c r="E60" s="211" t="s">
        <v>1000</v>
      </c>
      <c r="F60" s="213" t="s">
        <v>930</v>
      </c>
      <c r="G60" s="217" t="s">
        <v>1001</v>
      </c>
      <c r="H60" s="215" t="s">
        <v>893</v>
      </c>
      <c r="I60" s="223" t="s">
        <v>952</v>
      </c>
      <c r="J60" s="225" t="s">
        <v>1002</v>
      </c>
      <c r="K60" s="7"/>
      <c r="L60" s="7"/>
      <c r="M60" s="7" t="s">
        <v>854</v>
      </c>
      <c r="N60" s="8" t="s">
        <v>1003</v>
      </c>
    </row>
    <row r="61" spans="1:14">
      <c r="A61" t="str">
        <f>_xlfn.XLOOKUP(D61,'T4'!$B$2:$B$56,'T4'!$A$2:$A$56,"")</f>
        <v>34</v>
      </c>
      <c r="B61" t="str">
        <f>_xlfn.XLOOKUP(D61,'T4.1 MUX'!$B$2:$B$56,'T4.1 MUX'!$A$2:$A$56,"")</f>
        <v>42</v>
      </c>
      <c r="C61" t="str">
        <f>_xlfn.XLOOKUP(D61, Micromod!$D$2:$D$47,Micromod!$A$2:$A$47,"")</f>
        <v>34</v>
      </c>
      <c r="D61" s="7" t="s">
        <v>222</v>
      </c>
      <c r="E61" s="211" t="s">
        <v>1004</v>
      </c>
      <c r="F61" s="213" t="s">
        <v>937</v>
      </c>
      <c r="G61" s="217" t="s">
        <v>1005</v>
      </c>
      <c r="H61" s="215" t="s">
        <v>897</v>
      </c>
      <c r="I61" s="223" t="s">
        <v>960</v>
      </c>
      <c r="J61" s="225" t="s">
        <v>1006</v>
      </c>
      <c r="K61" s="7"/>
      <c r="L61" s="7"/>
      <c r="M61" s="7" t="s">
        <v>862</v>
      </c>
      <c r="N61" s="8" t="s">
        <v>1007</v>
      </c>
    </row>
    <row r="62" spans="1:14">
      <c r="A62">
        <f>_xlfn.XLOOKUP(D62,'T4'!$B$2:$B$56,'T4'!$A$2:$A$56,"")</f>
        <v>39</v>
      </c>
      <c r="B62" t="str">
        <f>_xlfn.XLOOKUP(D62,'T4.1 MUX'!$B$2:$B$56,'T4.1 MUX'!$A$2:$A$56,"")</f>
        <v>47</v>
      </c>
      <c r="C62" t="str">
        <f>_xlfn.XLOOKUP(D62, Micromod!$D$2:$D$47,Micromod!$A$2:$A$47,"")</f>
        <v>38</v>
      </c>
      <c r="D62" s="7" t="s">
        <v>223</v>
      </c>
      <c r="E62" s="211" t="s">
        <v>1008</v>
      </c>
      <c r="F62" s="213" t="s">
        <v>947</v>
      </c>
      <c r="G62" s="217" t="s">
        <v>747</v>
      </c>
      <c r="H62" s="215" t="s">
        <v>904</v>
      </c>
      <c r="I62" s="7" t="s">
        <v>1010</v>
      </c>
      <c r="J62" s="225" t="s">
        <v>1009</v>
      </c>
      <c r="K62" s="7" t="s">
        <v>1011</v>
      </c>
      <c r="L62" s="7"/>
      <c r="M62" s="7" t="s">
        <v>865</v>
      </c>
      <c r="N62" s="8"/>
    </row>
    <row r="63" spans="1:14">
      <c r="A63">
        <f>_xlfn.XLOOKUP(D63,'T4'!$B$2:$B$56,'T4'!$A$2:$A$56,"")</f>
        <v>38</v>
      </c>
      <c r="B63" t="str">
        <f>_xlfn.XLOOKUP(D63,'T4.1 MUX'!$B$2:$B$56,'T4.1 MUX'!$A$2:$A$56,"")</f>
        <v>46</v>
      </c>
      <c r="C63" t="str">
        <f>_xlfn.XLOOKUP(D63, Micromod!$D$2:$D$47,Micromod!$A$2:$A$47,"")</f>
        <v>39</v>
      </c>
      <c r="D63" s="7" t="s">
        <v>224</v>
      </c>
      <c r="E63" s="211" t="s">
        <v>1015</v>
      </c>
      <c r="F63" s="213" t="s">
        <v>950</v>
      </c>
      <c r="G63" s="217" t="s">
        <v>756</v>
      </c>
      <c r="H63" s="215" t="s">
        <v>908</v>
      </c>
      <c r="I63" s="7" t="s">
        <v>1014</v>
      </c>
      <c r="J63" s="225" t="s">
        <v>1013</v>
      </c>
      <c r="K63" s="7" t="s">
        <v>1012</v>
      </c>
      <c r="L63" s="7"/>
      <c r="M63" s="7" t="s">
        <v>875</v>
      </c>
      <c r="N63" s="8"/>
    </row>
    <row r="64" spans="1:14">
      <c r="D64" s="7"/>
      <c r="E64" s="7"/>
      <c r="F64" s="7"/>
      <c r="G64" s="7"/>
      <c r="H64" s="7"/>
      <c r="I64" s="7"/>
      <c r="J64" s="7"/>
      <c r="K64" s="7"/>
      <c r="L64" s="7"/>
      <c r="M64" s="7"/>
      <c r="N64" s="8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</sheetData>
  <sortState xmlns:xlrd2="http://schemas.microsoft.com/office/spreadsheetml/2017/richdata2" ref="D2:N104">
    <sortCondition ref="D2:D10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98D7-59ED-43A9-B01B-8AE7AF7474EA}">
  <dimension ref="A1:M44"/>
  <sheetViews>
    <sheetView workbookViewId="0">
      <selection activeCell="B3" sqref="B3"/>
    </sheetView>
  </sheetViews>
  <sheetFormatPr defaultRowHeight="15"/>
  <cols>
    <col min="1" max="1" width="8.85546875" bestFit="1" customWidth="1"/>
    <col min="2" max="2" width="16.85546875" customWidth="1"/>
    <col min="3" max="3" width="14" customWidth="1"/>
    <col min="4" max="4" width="13.140625" bestFit="1" customWidth="1"/>
    <col min="5" max="5" width="12.7109375" bestFit="1" customWidth="1"/>
    <col min="6" max="6" width="15.42578125" bestFit="1" customWidth="1"/>
    <col min="7" max="7" width="16.5703125" bestFit="1" customWidth="1"/>
    <col min="8" max="8" width="9.5703125" bestFit="1" customWidth="1"/>
    <col min="9" max="9" width="13.42578125" bestFit="1" customWidth="1"/>
    <col min="10" max="11" width="9.85546875" bestFit="1" customWidth="1"/>
    <col min="12" max="12" width="11.7109375" bestFit="1" customWidth="1"/>
    <col min="13" max="13" width="9.85546875" bestFit="1" customWidth="1"/>
  </cols>
  <sheetData>
    <row r="1" spans="1:13">
      <c r="A1" s="26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8" t="s">
        <v>212</v>
      </c>
    </row>
    <row r="2" spans="1:13">
      <c r="A2" s="6" t="s">
        <v>16</v>
      </c>
      <c r="B2" s="7" t="s">
        <v>17</v>
      </c>
      <c r="C2" s="7" t="s">
        <v>18</v>
      </c>
      <c r="D2" s="7" t="s">
        <v>238</v>
      </c>
      <c r="E2" s="7" t="s">
        <v>0</v>
      </c>
      <c r="F2" s="7" t="s">
        <v>261</v>
      </c>
      <c r="G2" s="7" t="s">
        <v>19</v>
      </c>
      <c r="H2" s="7" t="s">
        <v>20</v>
      </c>
      <c r="I2" s="7" t="s">
        <v>0</v>
      </c>
      <c r="J2" s="7" t="s">
        <v>21</v>
      </c>
      <c r="K2" s="7" t="s">
        <v>0</v>
      </c>
      <c r="L2" s="7" t="s">
        <v>0</v>
      </c>
      <c r="M2" s="8"/>
    </row>
    <row r="3" spans="1:13">
      <c r="A3" s="9" t="s">
        <v>22</v>
      </c>
      <c r="B3" s="10" t="s">
        <v>23</v>
      </c>
      <c r="C3" s="10" t="s">
        <v>24</v>
      </c>
      <c r="D3" s="10" t="s">
        <v>239</v>
      </c>
      <c r="E3" s="10" t="s">
        <v>0</v>
      </c>
      <c r="F3" s="10" t="s">
        <v>262</v>
      </c>
      <c r="G3" s="10" t="s">
        <v>25</v>
      </c>
      <c r="H3" s="10" t="s">
        <v>26</v>
      </c>
      <c r="I3" s="10" t="s">
        <v>0</v>
      </c>
      <c r="J3" s="10" t="s">
        <v>27</v>
      </c>
      <c r="K3" s="10" t="s">
        <v>0</v>
      </c>
      <c r="L3" s="10" t="s">
        <v>0</v>
      </c>
      <c r="M3" s="11"/>
    </row>
    <row r="4" spans="1:13">
      <c r="A4" s="6" t="s">
        <v>28</v>
      </c>
      <c r="B4" s="7" t="s">
        <v>29</v>
      </c>
      <c r="C4" s="7" t="s">
        <v>30</v>
      </c>
      <c r="D4" s="7" t="s">
        <v>0</v>
      </c>
      <c r="E4" s="7" t="s">
        <v>0</v>
      </c>
      <c r="F4" s="7" t="s">
        <v>0</v>
      </c>
      <c r="G4" s="7" t="s">
        <v>31</v>
      </c>
      <c r="H4" s="7" t="s">
        <v>0</v>
      </c>
      <c r="I4" s="7" t="s">
        <v>32</v>
      </c>
      <c r="J4" s="7" t="s">
        <v>33</v>
      </c>
      <c r="K4" s="7" t="s">
        <v>34</v>
      </c>
      <c r="L4" s="7" t="s">
        <v>0</v>
      </c>
      <c r="M4" s="8"/>
    </row>
    <row r="5" spans="1:13">
      <c r="A5" s="9" t="s">
        <v>35</v>
      </c>
      <c r="B5" s="10" t="s">
        <v>36</v>
      </c>
      <c r="C5" s="10" t="s">
        <v>37</v>
      </c>
      <c r="D5" s="10" t="s">
        <v>0</v>
      </c>
      <c r="E5" s="10" t="s">
        <v>0</v>
      </c>
      <c r="F5" s="10" t="s">
        <v>0</v>
      </c>
      <c r="G5" s="10" t="s">
        <v>38</v>
      </c>
      <c r="H5" s="10" t="s">
        <v>0</v>
      </c>
      <c r="I5" s="10" t="s">
        <v>39</v>
      </c>
      <c r="J5" s="10" t="s">
        <v>40</v>
      </c>
      <c r="K5" s="10" t="s">
        <v>41</v>
      </c>
      <c r="L5" s="10" t="s">
        <v>0</v>
      </c>
      <c r="M5" s="11"/>
    </row>
    <row r="6" spans="1:13">
      <c r="A6" s="6" t="s">
        <v>42</v>
      </c>
      <c r="B6" s="7" t="s">
        <v>43</v>
      </c>
      <c r="C6" s="7" t="s">
        <v>44</v>
      </c>
      <c r="D6" s="7" t="s">
        <v>0</v>
      </c>
      <c r="E6" s="7" t="s">
        <v>0</v>
      </c>
      <c r="F6" s="7" t="s">
        <v>0</v>
      </c>
      <c r="G6" s="7" t="s">
        <v>45</v>
      </c>
      <c r="H6" s="7" t="s">
        <v>0</v>
      </c>
      <c r="I6" s="7" t="s">
        <v>46</v>
      </c>
      <c r="J6" s="7" t="s">
        <v>47</v>
      </c>
      <c r="K6" s="7" t="s">
        <v>48</v>
      </c>
      <c r="L6" s="7" t="s">
        <v>0</v>
      </c>
      <c r="M6" s="8"/>
    </row>
    <row r="7" spans="1:13">
      <c r="A7" s="12">
        <v>5</v>
      </c>
      <c r="B7" s="13" t="s">
        <v>193</v>
      </c>
      <c r="C7" s="13" t="s">
        <v>194</v>
      </c>
      <c r="D7" s="13" t="s">
        <v>0</v>
      </c>
      <c r="E7" s="13" t="s">
        <v>0</v>
      </c>
      <c r="F7" s="13" t="s">
        <v>0</v>
      </c>
      <c r="G7" s="13" t="s">
        <v>195</v>
      </c>
      <c r="H7" s="13" t="s">
        <v>0</v>
      </c>
      <c r="I7" s="13" t="s">
        <v>196</v>
      </c>
      <c r="J7" s="13" t="s">
        <v>21</v>
      </c>
      <c r="K7" s="13" t="s">
        <v>197</v>
      </c>
      <c r="L7" s="13" t="s">
        <v>0</v>
      </c>
      <c r="M7" s="14"/>
    </row>
    <row r="8" spans="1:13">
      <c r="A8" s="15">
        <v>6</v>
      </c>
      <c r="B8" s="16" t="s">
        <v>64</v>
      </c>
      <c r="C8" s="16" t="s">
        <v>65</v>
      </c>
      <c r="D8" s="16" t="s">
        <v>0</v>
      </c>
      <c r="E8" s="16" t="s">
        <v>0</v>
      </c>
      <c r="F8" s="16" t="s">
        <v>0</v>
      </c>
      <c r="G8" s="10" t="s">
        <v>344</v>
      </c>
      <c r="H8" s="16"/>
      <c r="I8" s="16" t="s">
        <v>66</v>
      </c>
      <c r="J8" s="16"/>
      <c r="K8" s="16" t="s">
        <v>67</v>
      </c>
      <c r="L8" s="16"/>
      <c r="M8" s="17"/>
    </row>
    <row r="9" spans="1:13">
      <c r="A9" s="12">
        <v>7</v>
      </c>
      <c r="B9" s="13" t="s">
        <v>54</v>
      </c>
      <c r="C9" s="13" t="s">
        <v>55</v>
      </c>
      <c r="D9" s="13" t="s">
        <v>240</v>
      </c>
      <c r="E9" s="13" t="s">
        <v>0</v>
      </c>
      <c r="F9" s="13" t="s">
        <v>0</v>
      </c>
      <c r="G9" s="13" t="s">
        <v>56</v>
      </c>
      <c r="H9" s="13" t="s">
        <v>0</v>
      </c>
      <c r="I9" s="13" t="s">
        <v>57</v>
      </c>
      <c r="J9" s="13" t="s">
        <v>58</v>
      </c>
      <c r="K9" s="13" t="s">
        <v>233</v>
      </c>
      <c r="L9" s="13"/>
      <c r="M9" s="14"/>
    </row>
    <row r="10" spans="1:13">
      <c r="A10" s="15">
        <v>8</v>
      </c>
      <c r="B10" s="16" t="s">
        <v>59</v>
      </c>
      <c r="C10" s="16" t="s">
        <v>60</v>
      </c>
      <c r="D10" s="16" t="s">
        <v>241</v>
      </c>
      <c r="E10" s="16" t="s">
        <v>0</v>
      </c>
      <c r="F10" s="16" t="s">
        <v>0</v>
      </c>
      <c r="G10" s="16" t="s">
        <v>61</v>
      </c>
      <c r="H10" s="16" t="s">
        <v>0</v>
      </c>
      <c r="I10" s="16" t="s">
        <v>62</v>
      </c>
      <c r="J10" s="16" t="s">
        <v>63</v>
      </c>
      <c r="K10" s="16" t="s">
        <v>232</v>
      </c>
      <c r="L10" s="16"/>
      <c r="M10" s="17"/>
    </row>
    <row r="11" spans="1:13">
      <c r="A11" s="9" t="s">
        <v>68</v>
      </c>
      <c r="B11" s="10" t="s">
        <v>69</v>
      </c>
      <c r="C11" s="10" t="s">
        <v>70</v>
      </c>
      <c r="D11" s="10" t="s">
        <v>0</v>
      </c>
      <c r="E11" s="10" t="s">
        <v>0</v>
      </c>
      <c r="F11" s="10" t="s">
        <v>0</v>
      </c>
      <c r="G11" s="10" t="s">
        <v>346</v>
      </c>
      <c r="H11" s="10"/>
      <c r="I11" s="10" t="s">
        <v>71</v>
      </c>
      <c r="J11" s="10"/>
      <c r="K11" s="10" t="s">
        <v>72</v>
      </c>
      <c r="L11" s="10"/>
      <c r="M11" s="11"/>
    </row>
    <row r="12" spans="1:13">
      <c r="A12" s="6" t="s">
        <v>73</v>
      </c>
      <c r="B12" s="7" t="s">
        <v>74</v>
      </c>
      <c r="C12" s="7" t="s">
        <v>75</v>
      </c>
      <c r="D12" s="7" t="s">
        <v>0</v>
      </c>
      <c r="E12" s="7" t="s">
        <v>0</v>
      </c>
      <c r="F12" s="7" t="s">
        <v>255</v>
      </c>
      <c r="G12" s="7" t="s">
        <v>76</v>
      </c>
      <c r="H12" s="7" t="s">
        <v>0</v>
      </c>
      <c r="I12" s="7" t="s">
        <v>77</v>
      </c>
      <c r="J12" s="7" t="s">
        <v>0</v>
      </c>
      <c r="K12" s="7" t="s">
        <v>78</v>
      </c>
      <c r="L12" s="7" t="s">
        <v>0</v>
      </c>
      <c r="M12" s="8"/>
    </row>
    <row r="13" spans="1:13">
      <c r="A13" s="9" t="s">
        <v>79</v>
      </c>
      <c r="B13" s="10" t="s">
        <v>80</v>
      </c>
      <c r="C13" s="10" t="s">
        <v>81</v>
      </c>
      <c r="D13" s="10" t="s">
        <v>0</v>
      </c>
      <c r="E13" s="10" t="s">
        <v>0</v>
      </c>
      <c r="F13" s="10" t="s">
        <v>256</v>
      </c>
      <c r="G13" s="10" t="s">
        <v>82</v>
      </c>
      <c r="H13" s="10" t="s">
        <v>83</v>
      </c>
      <c r="I13" s="10" t="s">
        <v>0</v>
      </c>
      <c r="J13" s="10" t="s">
        <v>0</v>
      </c>
      <c r="K13" s="10" t="s">
        <v>84</v>
      </c>
      <c r="L13" s="10" t="s">
        <v>0</v>
      </c>
      <c r="M13" s="11"/>
    </row>
    <row r="14" spans="1:13">
      <c r="A14" s="6" t="s">
        <v>85</v>
      </c>
      <c r="B14" s="7" t="s">
        <v>86</v>
      </c>
      <c r="C14" s="7" t="s">
        <v>87</v>
      </c>
      <c r="D14" s="7" t="s">
        <v>0</v>
      </c>
      <c r="E14" s="7" t="s">
        <v>0</v>
      </c>
      <c r="F14" s="7" t="s">
        <v>257</v>
      </c>
      <c r="G14" s="7" t="s">
        <v>88</v>
      </c>
      <c r="H14" s="7" t="s">
        <v>0</v>
      </c>
      <c r="I14" s="7" t="s">
        <v>89</v>
      </c>
      <c r="J14" s="7" t="s">
        <v>0</v>
      </c>
      <c r="K14" s="7" t="s">
        <v>90</v>
      </c>
      <c r="L14" s="7" t="s">
        <v>0</v>
      </c>
      <c r="M14" s="8"/>
    </row>
    <row r="15" spans="1:13">
      <c r="A15" s="9" t="s">
        <v>91</v>
      </c>
      <c r="B15" s="10" t="s">
        <v>92</v>
      </c>
      <c r="C15" s="10" t="s">
        <v>93</v>
      </c>
      <c r="D15" s="10" t="s">
        <v>0</v>
      </c>
      <c r="E15" s="10" t="s">
        <v>0</v>
      </c>
      <c r="F15" s="10" t="s">
        <v>258</v>
      </c>
      <c r="G15" s="10" t="s">
        <v>94</v>
      </c>
      <c r="H15" s="10" t="s">
        <v>95</v>
      </c>
      <c r="I15" s="10" t="s">
        <v>0</v>
      </c>
      <c r="J15" s="10" t="s">
        <v>0</v>
      </c>
      <c r="K15" s="10" t="s">
        <v>96</v>
      </c>
      <c r="L15" s="10" t="s">
        <v>0</v>
      </c>
      <c r="M15" s="11"/>
    </row>
    <row r="16" spans="1:13">
      <c r="A16" s="6" t="s">
        <v>97</v>
      </c>
      <c r="B16" s="7" t="s">
        <v>98</v>
      </c>
      <c r="C16" s="7" t="s">
        <v>99</v>
      </c>
      <c r="D16" s="7" t="s">
        <v>242</v>
      </c>
      <c r="E16" s="7" t="s">
        <v>0</v>
      </c>
      <c r="F16" s="7" t="s">
        <v>0</v>
      </c>
      <c r="G16" s="7" t="s">
        <v>100</v>
      </c>
      <c r="H16" s="7" t="s">
        <v>0</v>
      </c>
      <c r="I16" s="7" t="s">
        <v>101</v>
      </c>
      <c r="J16" s="7" t="s">
        <v>0</v>
      </c>
      <c r="K16" s="7" t="s">
        <v>102</v>
      </c>
      <c r="L16" s="7" t="s">
        <v>269</v>
      </c>
      <c r="M16" s="8"/>
    </row>
    <row r="17" spans="1:13">
      <c r="A17" s="9" t="s">
        <v>103</v>
      </c>
      <c r="B17" s="10" t="s">
        <v>104</v>
      </c>
      <c r="C17" s="10" t="s">
        <v>105</v>
      </c>
      <c r="D17" s="10" t="s">
        <v>243</v>
      </c>
      <c r="E17" s="10" t="s">
        <v>0</v>
      </c>
      <c r="F17" s="10" t="s">
        <v>0</v>
      </c>
      <c r="G17" s="10" t="s">
        <v>106</v>
      </c>
      <c r="H17" s="10" t="s">
        <v>0</v>
      </c>
      <c r="I17" s="10" t="s">
        <v>107</v>
      </c>
      <c r="J17" s="10" t="s">
        <v>0</v>
      </c>
      <c r="K17" s="10" t="s">
        <v>108</v>
      </c>
      <c r="L17" s="10" t="s">
        <v>270</v>
      </c>
      <c r="M17" s="11"/>
    </row>
    <row r="18" spans="1:13">
      <c r="A18" s="6" t="s">
        <v>109</v>
      </c>
      <c r="B18" s="7" t="s">
        <v>110</v>
      </c>
      <c r="C18" s="7" t="s">
        <v>111</v>
      </c>
      <c r="D18" s="7" t="s">
        <v>245</v>
      </c>
      <c r="E18" s="7" t="s">
        <v>282</v>
      </c>
      <c r="F18" s="7" t="s">
        <v>0</v>
      </c>
      <c r="G18" s="7" t="s">
        <v>0</v>
      </c>
      <c r="H18" s="7" t="s">
        <v>0</v>
      </c>
      <c r="I18" s="7" t="s">
        <v>112</v>
      </c>
      <c r="J18" s="7" t="s">
        <v>0</v>
      </c>
      <c r="K18" s="7" t="s">
        <v>113</v>
      </c>
      <c r="L18" s="7" t="s">
        <v>271</v>
      </c>
      <c r="M18" s="8"/>
    </row>
    <row r="19" spans="1:13">
      <c r="A19" s="9" t="s">
        <v>114</v>
      </c>
      <c r="B19" s="10" t="s">
        <v>115</v>
      </c>
      <c r="C19" s="10" t="s">
        <v>116</v>
      </c>
      <c r="D19" s="10" t="s">
        <v>246</v>
      </c>
      <c r="E19" s="10" t="s">
        <v>281</v>
      </c>
      <c r="F19" s="10" t="s">
        <v>0</v>
      </c>
      <c r="G19" s="10" t="s">
        <v>0</v>
      </c>
      <c r="H19" s="10" t="s">
        <v>0</v>
      </c>
      <c r="I19" s="10" t="s">
        <v>117</v>
      </c>
      <c r="J19" s="10" t="s">
        <v>0</v>
      </c>
      <c r="K19" s="10" t="s">
        <v>118</v>
      </c>
      <c r="L19" s="10" t="s">
        <v>272</v>
      </c>
      <c r="M19" s="11"/>
    </row>
    <row r="20" spans="1:13">
      <c r="A20" s="6" t="s">
        <v>119</v>
      </c>
      <c r="B20" s="7" t="s">
        <v>120</v>
      </c>
      <c r="C20" s="7" t="s">
        <v>121</v>
      </c>
      <c r="D20" s="7" t="s">
        <v>286</v>
      </c>
      <c r="E20" s="7" t="s">
        <v>279</v>
      </c>
      <c r="F20" s="7" t="s">
        <v>0</v>
      </c>
      <c r="G20" s="7" t="s">
        <v>122</v>
      </c>
      <c r="H20" s="7" t="s">
        <v>0</v>
      </c>
      <c r="I20" s="7" t="s">
        <v>0</v>
      </c>
      <c r="J20" s="7" t="s">
        <v>0</v>
      </c>
      <c r="K20" s="7" t="s">
        <v>123</v>
      </c>
      <c r="L20" s="7" t="s">
        <v>273</v>
      </c>
      <c r="M20" s="8"/>
    </row>
    <row r="21" spans="1:13">
      <c r="A21" s="9" t="s">
        <v>124</v>
      </c>
      <c r="B21" s="10" t="s">
        <v>125</v>
      </c>
      <c r="C21" s="10" t="s">
        <v>126</v>
      </c>
      <c r="D21" s="7" t="s">
        <v>244</v>
      </c>
      <c r="E21" s="10" t="s">
        <v>280</v>
      </c>
      <c r="F21" s="10" t="s">
        <v>0</v>
      </c>
      <c r="G21" s="10" t="s">
        <v>127</v>
      </c>
      <c r="H21" s="10" t="s">
        <v>0</v>
      </c>
      <c r="I21" s="10" t="s">
        <v>0</v>
      </c>
      <c r="J21" s="10" t="s">
        <v>0</v>
      </c>
      <c r="K21" s="10" t="s">
        <v>128</v>
      </c>
      <c r="L21" s="10" t="s">
        <v>274</v>
      </c>
      <c r="M21" s="11"/>
    </row>
    <row r="22" spans="1:13">
      <c r="A22" s="6" t="s">
        <v>129</v>
      </c>
      <c r="B22" s="7" t="s">
        <v>130</v>
      </c>
      <c r="C22" s="7" t="s">
        <v>131</v>
      </c>
      <c r="D22" s="7" t="s">
        <v>247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132</v>
      </c>
      <c r="J22" s="7" t="s">
        <v>0</v>
      </c>
      <c r="K22" s="7" t="s">
        <v>133</v>
      </c>
      <c r="L22" s="7" t="s">
        <v>275</v>
      </c>
      <c r="M22" s="8"/>
    </row>
    <row r="23" spans="1:13">
      <c r="A23" s="9" t="s">
        <v>134</v>
      </c>
      <c r="B23" s="10" t="s">
        <v>135</v>
      </c>
      <c r="C23" s="10" t="s">
        <v>136</v>
      </c>
      <c r="D23" s="10" t="s">
        <v>248</v>
      </c>
      <c r="E23" s="10" t="s">
        <v>0</v>
      </c>
      <c r="F23" s="10" t="s">
        <v>0</v>
      </c>
      <c r="G23" s="10" t="s">
        <v>0</v>
      </c>
      <c r="H23" s="10" t="s">
        <v>0</v>
      </c>
      <c r="I23" s="10" t="s">
        <v>137</v>
      </c>
      <c r="J23" s="10" t="s">
        <v>0</v>
      </c>
      <c r="K23" s="10" t="s">
        <v>138</v>
      </c>
      <c r="L23" s="10" t="s">
        <v>276</v>
      </c>
      <c r="M23" s="11"/>
    </row>
    <row r="24" spans="1:13">
      <c r="A24" s="6" t="s">
        <v>139</v>
      </c>
      <c r="B24" s="7" t="s">
        <v>140</v>
      </c>
      <c r="C24" s="7" t="s">
        <v>141</v>
      </c>
      <c r="D24" s="7" t="s">
        <v>0</v>
      </c>
      <c r="E24" s="7" t="s">
        <v>0</v>
      </c>
      <c r="F24" s="7" t="s">
        <v>0</v>
      </c>
      <c r="G24" s="7" t="s">
        <v>142</v>
      </c>
      <c r="H24" s="7" t="s">
        <v>83</v>
      </c>
      <c r="I24" s="7" t="s">
        <v>0</v>
      </c>
      <c r="J24" s="7" t="s">
        <v>0</v>
      </c>
      <c r="K24" s="7" t="s">
        <v>143</v>
      </c>
      <c r="L24" s="7" t="s">
        <v>277</v>
      </c>
      <c r="M24" s="8"/>
    </row>
    <row r="25" spans="1:13">
      <c r="A25" s="9" t="s">
        <v>144</v>
      </c>
      <c r="B25" s="10" t="s">
        <v>145</v>
      </c>
      <c r="C25" s="10" t="s">
        <v>146</v>
      </c>
      <c r="D25" s="10" t="s">
        <v>0</v>
      </c>
      <c r="E25" s="10" t="s">
        <v>0</v>
      </c>
      <c r="F25" s="10" t="s">
        <v>0</v>
      </c>
      <c r="G25" s="10" t="s">
        <v>147</v>
      </c>
      <c r="H25" s="10" t="s">
        <v>95</v>
      </c>
      <c r="I25" s="10" t="s">
        <v>148</v>
      </c>
      <c r="J25" s="10" t="s">
        <v>0</v>
      </c>
      <c r="K25" s="10" t="s">
        <v>149</v>
      </c>
      <c r="L25" s="10" t="s">
        <v>278</v>
      </c>
      <c r="M25" s="11"/>
    </row>
    <row r="26" spans="1:13">
      <c r="A26" s="6" t="s">
        <v>13</v>
      </c>
      <c r="B26" s="7" t="s">
        <v>14</v>
      </c>
      <c r="C26" s="7" t="s">
        <v>14</v>
      </c>
      <c r="D26" s="7" t="s">
        <v>15</v>
      </c>
      <c r="E26" s="7" t="s">
        <v>13</v>
      </c>
      <c r="F26" s="7" t="s">
        <v>13</v>
      </c>
      <c r="G26" s="7" t="s">
        <v>13</v>
      </c>
      <c r="H26" s="7" t="s">
        <v>13</v>
      </c>
      <c r="I26" s="7" t="s">
        <v>14</v>
      </c>
      <c r="J26" s="7" t="s">
        <v>14</v>
      </c>
      <c r="K26" s="7" t="s">
        <v>150</v>
      </c>
      <c r="L26" s="7" t="s">
        <v>15</v>
      </c>
      <c r="M26" s="8"/>
    </row>
    <row r="27" spans="1:13">
      <c r="A27" s="9" t="s">
        <v>151</v>
      </c>
      <c r="B27" s="10" t="s">
        <v>152</v>
      </c>
      <c r="C27" s="10" t="s">
        <v>153</v>
      </c>
      <c r="D27" s="10" t="s">
        <v>251</v>
      </c>
      <c r="E27" s="10" t="s">
        <v>283</v>
      </c>
      <c r="F27" s="10" t="s">
        <v>0</v>
      </c>
      <c r="G27" s="10" t="s">
        <v>154</v>
      </c>
      <c r="H27" s="10" t="s">
        <v>0</v>
      </c>
      <c r="I27" s="10" t="s">
        <v>0</v>
      </c>
      <c r="J27" s="10" t="s">
        <v>0</v>
      </c>
      <c r="K27" s="10" t="s">
        <v>0</v>
      </c>
      <c r="L27" s="10" t="s">
        <v>155</v>
      </c>
      <c r="M27" s="11"/>
    </row>
    <row r="28" spans="1:13">
      <c r="A28" s="6" t="s">
        <v>156</v>
      </c>
      <c r="B28" s="7" t="s">
        <v>157</v>
      </c>
      <c r="C28" s="7" t="s">
        <v>158</v>
      </c>
      <c r="D28" s="7" t="s">
        <v>252</v>
      </c>
      <c r="E28" s="7" t="s">
        <v>284</v>
      </c>
      <c r="F28" s="7" t="s">
        <v>0</v>
      </c>
      <c r="G28" s="7" t="s">
        <v>159</v>
      </c>
      <c r="H28" s="7" t="s">
        <v>160</v>
      </c>
      <c r="I28" s="7" t="s">
        <v>0</v>
      </c>
      <c r="J28" s="7" t="s">
        <v>0</v>
      </c>
      <c r="K28" s="7" t="s">
        <v>0</v>
      </c>
      <c r="L28" s="7" t="s">
        <v>161</v>
      </c>
      <c r="M28" s="8"/>
    </row>
    <row r="29" spans="1:13">
      <c r="A29" s="9" t="s">
        <v>162</v>
      </c>
      <c r="B29" s="10" t="s">
        <v>163</v>
      </c>
      <c r="C29" s="10" t="s">
        <v>164</v>
      </c>
      <c r="D29" s="10" t="s">
        <v>0</v>
      </c>
      <c r="E29" s="10" t="s">
        <v>0</v>
      </c>
      <c r="F29" s="10" t="s">
        <v>259</v>
      </c>
      <c r="G29" s="10" t="s">
        <v>0</v>
      </c>
      <c r="H29" s="10" t="s">
        <v>0</v>
      </c>
      <c r="I29" s="10" t="s">
        <v>165</v>
      </c>
      <c r="J29" s="10" t="s">
        <v>0</v>
      </c>
      <c r="K29" s="10" t="s">
        <v>208</v>
      </c>
      <c r="L29" s="10" t="s">
        <v>166</v>
      </c>
      <c r="M29" s="11"/>
    </row>
    <row r="30" spans="1:13">
      <c r="A30" s="6" t="s">
        <v>167</v>
      </c>
      <c r="B30" s="7" t="s">
        <v>168</v>
      </c>
      <c r="C30" s="7" t="s">
        <v>169</v>
      </c>
      <c r="D30" s="7" t="s">
        <v>0</v>
      </c>
      <c r="E30" s="7" t="s">
        <v>0</v>
      </c>
      <c r="F30" s="7" t="s">
        <v>260</v>
      </c>
      <c r="G30" s="7" t="s">
        <v>0</v>
      </c>
      <c r="H30" s="7" t="s">
        <v>0</v>
      </c>
      <c r="I30" s="7" t="s">
        <v>170</v>
      </c>
      <c r="J30" s="7" t="s">
        <v>0</v>
      </c>
      <c r="K30" s="7" t="s">
        <v>209</v>
      </c>
      <c r="L30" s="7" t="s">
        <v>171</v>
      </c>
      <c r="M30" s="8"/>
    </row>
    <row r="31" spans="1:13">
      <c r="A31" s="9" t="s">
        <v>172</v>
      </c>
      <c r="B31" s="10" t="s">
        <v>173</v>
      </c>
      <c r="C31" s="10" t="s">
        <v>174</v>
      </c>
      <c r="D31" s="10" t="s">
        <v>253</v>
      </c>
      <c r="E31" s="10" t="s">
        <v>0</v>
      </c>
      <c r="F31" s="10" t="s">
        <v>0</v>
      </c>
      <c r="G31" s="10" t="s">
        <v>175</v>
      </c>
      <c r="H31" s="10" t="s">
        <v>0</v>
      </c>
      <c r="I31" s="10" t="s">
        <v>0</v>
      </c>
      <c r="J31" s="10" t="s">
        <v>0</v>
      </c>
      <c r="K31" s="10" t="s">
        <v>0</v>
      </c>
      <c r="L31" s="10" t="s">
        <v>0</v>
      </c>
      <c r="M31" s="11"/>
    </row>
    <row r="32" spans="1:13">
      <c r="A32" s="6" t="s">
        <v>176</v>
      </c>
      <c r="B32" s="7" t="s">
        <v>177</v>
      </c>
      <c r="C32" s="7" t="s">
        <v>178</v>
      </c>
      <c r="D32" s="7" t="s">
        <v>254</v>
      </c>
      <c r="E32" s="7" t="s">
        <v>0</v>
      </c>
      <c r="F32" s="7" t="s">
        <v>285</v>
      </c>
      <c r="G32" s="7" t="s">
        <v>179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8"/>
    </row>
    <row r="33" spans="1:13">
      <c r="A33" s="12" t="s">
        <v>180</v>
      </c>
      <c r="B33" s="13" t="s">
        <v>198</v>
      </c>
      <c r="C33" s="13">
        <v>3.23</v>
      </c>
      <c r="D33" s="13"/>
      <c r="E33" s="13" t="s">
        <v>0</v>
      </c>
      <c r="F33" s="13" t="s">
        <v>0</v>
      </c>
      <c r="G33" s="13" t="s">
        <v>199</v>
      </c>
      <c r="H33" s="13" t="s">
        <v>200</v>
      </c>
      <c r="I33" s="13" t="s">
        <v>201</v>
      </c>
      <c r="J33" s="13" t="s">
        <v>207</v>
      </c>
      <c r="K33" s="13" t="s">
        <v>0</v>
      </c>
      <c r="L33" s="13" t="s">
        <v>0</v>
      </c>
      <c r="M33" s="14"/>
    </row>
    <row r="34" spans="1:13">
      <c r="A34" s="15" t="s">
        <v>184</v>
      </c>
      <c r="B34" s="16" t="s">
        <v>202</v>
      </c>
      <c r="C34" s="16">
        <v>3.22</v>
      </c>
      <c r="D34" s="16"/>
      <c r="E34" s="16" t="s">
        <v>0</v>
      </c>
      <c r="F34" s="16" t="s">
        <v>0</v>
      </c>
      <c r="G34" s="16" t="s">
        <v>203</v>
      </c>
      <c r="H34" s="16" t="s">
        <v>204</v>
      </c>
      <c r="I34" s="16" t="s">
        <v>205</v>
      </c>
      <c r="J34" s="16" t="s">
        <v>206</v>
      </c>
      <c r="K34" s="16" t="s">
        <v>0</v>
      </c>
      <c r="L34" s="16" t="s">
        <v>0</v>
      </c>
      <c r="M34" s="17"/>
    </row>
    <row r="35" spans="1:13">
      <c r="A35" s="9" t="s">
        <v>186</v>
      </c>
      <c r="B35" s="10" t="s">
        <v>187</v>
      </c>
      <c r="C35" s="10" t="s">
        <v>188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  <c r="I35" s="10" t="s">
        <v>189</v>
      </c>
      <c r="J35" s="10" t="s">
        <v>190</v>
      </c>
      <c r="K35" s="10" t="s">
        <v>191</v>
      </c>
      <c r="L35" s="10" t="s">
        <v>0</v>
      </c>
      <c r="M35" s="11"/>
    </row>
    <row r="36" spans="1:13">
      <c r="A36" s="15" t="s">
        <v>192</v>
      </c>
      <c r="B36" s="16" t="s">
        <v>49</v>
      </c>
      <c r="C36" s="16">
        <v>4.7</v>
      </c>
      <c r="D36" s="16" t="s">
        <v>0</v>
      </c>
      <c r="E36" s="16" t="s">
        <v>0</v>
      </c>
      <c r="F36" s="16" t="s">
        <v>0</v>
      </c>
      <c r="G36" s="16" t="s">
        <v>50</v>
      </c>
      <c r="H36" s="16" t="s">
        <v>0</v>
      </c>
      <c r="I36" s="16" t="s">
        <v>51</v>
      </c>
      <c r="J36" s="16" t="s">
        <v>52</v>
      </c>
      <c r="K36" s="16" t="s">
        <v>53</v>
      </c>
      <c r="L36" s="16" t="s">
        <v>0</v>
      </c>
      <c r="M36" s="17"/>
    </row>
    <row r="37" spans="1:1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</row>
    <row r="38" spans="1:13">
      <c r="A38" s="18" t="s">
        <v>210</v>
      </c>
      <c r="B38" s="19" t="s">
        <v>222</v>
      </c>
      <c r="C38" s="19" t="s">
        <v>570</v>
      </c>
      <c r="D38" s="19" t="s">
        <v>249</v>
      </c>
      <c r="E38" s="19"/>
      <c r="F38" s="19" t="s">
        <v>263</v>
      </c>
      <c r="G38" s="19" t="s">
        <v>235</v>
      </c>
      <c r="H38" s="19"/>
      <c r="I38" s="19"/>
      <c r="J38" s="20" t="s">
        <v>40</v>
      </c>
      <c r="K38" s="19"/>
      <c r="L38" s="19"/>
      <c r="M38" s="21" t="s">
        <v>213</v>
      </c>
    </row>
    <row r="39" spans="1:13">
      <c r="A39" s="22" t="s">
        <v>211</v>
      </c>
      <c r="B39" s="23" t="s">
        <v>221</v>
      </c>
      <c r="C39" s="23" t="s">
        <v>227</v>
      </c>
      <c r="D39" s="23" t="s">
        <v>250</v>
      </c>
      <c r="E39" s="23"/>
      <c r="F39" s="23" t="s">
        <v>264</v>
      </c>
      <c r="G39" s="23" t="s">
        <v>234</v>
      </c>
      <c r="H39" s="23"/>
      <c r="I39" s="23"/>
      <c r="J39" s="24" t="s">
        <v>33</v>
      </c>
      <c r="K39" s="23"/>
      <c r="L39" s="23"/>
      <c r="M39" s="25" t="s">
        <v>214</v>
      </c>
    </row>
    <row r="40" spans="1:13">
      <c r="A40" s="18">
        <v>36</v>
      </c>
      <c r="B40" s="19" t="s">
        <v>220</v>
      </c>
      <c r="C40" s="19" t="s">
        <v>226</v>
      </c>
      <c r="D40" s="19"/>
      <c r="E40" s="20" t="s">
        <v>281</v>
      </c>
      <c r="F40" s="19" t="s">
        <v>265</v>
      </c>
      <c r="G40" s="19" t="s">
        <v>183</v>
      </c>
      <c r="H40" s="19"/>
      <c r="I40" s="19"/>
      <c r="J40" s="19" t="s">
        <v>230</v>
      </c>
      <c r="K40" s="19"/>
      <c r="L40" s="19"/>
      <c r="M40" s="21" t="s">
        <v>215</v>
      </c>
    </row>
    <row r="41" spans="1:13">
      <c r="A41" s="22">
        <v>37</v>
      </c>
      <c r="B41" s="23" t="s">
        <v>219</v>
      </c>
      <c r="C41" s="23" t="s">
        <v>225</v>
      </c>
      <c r="D41" s="23"/>
      <c r="E41" s="24" t="s">
        <v>282</v>
      </c>
      <c r="F41" s="23" t="s">
        <v>266</v>
      </c>
      <c r="G41" s="23" t="s">
        <v>185</v>
      </c>
      <c r="H41" s="23"/>
      <c r="I41" s="23"/>
      <c r="J41" s="23" t="s">
        <v>231</v>
      </c>
      <c r="K41" s="23"/>
      <c r="L41" s="23"/>
      <c r="M41" s="25" t="s">
        <v>216</v>
      </c>
    </row>
    <row r="42" spans="1:13">
      <c r="A42" s="18">
        <v>38</v>
      </c>
      <c r="B42" s="19" t="s">
        <v>224</v>
      </c>
      <c r="C42" s="19" t="s">
        <v>229</v>
      </c>
      <c r="D42" s="20" t="s">
        <v>248</v>
      </c>
      <c r="E42" s="19"/>
      <c r="F42" s="29" t="s">
        <v>267</v>
      </c>
      <c r="G42" s="19" t="s">
        <v>237</v>
      </c>
      <c r="H42" s="19"/>
      <c r="I42" s="19"/>
      <c r="J42" s="20" t="s">
        <v>52</v>
      </c>
      <c r="K42" s="19"/>
      <c r="L42" s="19"/>
      <c r="M42" s="21" t="s">
        <v>217</v>
      </c>
    </row>
    <row r="43" spans="1:13">
      <c r="A43" s="22">
        <v>39</v>
      </c>
      <c r="B43" s="23" t="s">
        <v>223</v>
      </c>
      <c r="C43" s="23" t="s">
        <v>228</v>
      </c>
      <c r="D43" s="24" t="s">
        <v>247</v>
      </c>
      <c r="E43" s="23"/>
      <c r="F43" s="23" t="s">
        <v>268</v>
      </c>
      <c r="G43" s="23" t="s">
        <v>236</v>
      </c>
      <c r="H43" s="23"/>
      <c r="I43" s="23"/>
      <c r="J43" s="24" t="s">
        <v>47</v>
      </c>
      <c r="K43" s="23"/>
      <c r="L43" s="23"/>
      <c r="M43" s="25" t="s">
        <v>218</v>
      </c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</sheetData>
  <pageMargins left="0.7" right="0.7" top="0.75" bottom="0.75" header="0.3" footer="0.3"/>
  <pageSetup orientation="portrait" horizontalDpi="0" verticalDpi="0" r:id="rId1"/>
  <ignoredErrors>
    <ignoredError sqref="C2 C3:C37 A2:A43 C39:C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5696-03D0-445C-9164-20930A935361}">
  <dimension ref="A1:M42"/>
  <sheetViews>
    <sheetView workbookViewId="0"/>
  </sheetViews>
  <sheetFormatPr defaultRowHeight="15"/>
  <cols>
    <col min="1" max="1" width="8.85546875" bestFit="1" customWidth="1"/>
    <col min="2" max="2" width="16.85546875" customWidth="1"/>
    <col min="3" max="3" width="14" customWidth="1"/>
    <col min="4" max="4" width="13.140625" bestFit="1" customWidth="1"/>
    <col min="5" max="5" width="12.7109375" bestFit="1" customWidth="1"/>
    <col min="6" max="6" width="15.42578125" bestFit="1" customWidth="1"/>
    <col min="7" max="7" width="16.5703125" bestFit="1" customWidth="1"/>
    <col min="8" max="8" width="9.5703125" bestFit="1" customWidth="1"/>
    <col min="9" max="9" width="13.42578125" bestFit="1" customWidth="1"/>
    <col min="10" max="11" width="9.85546875" bestFit="1" customWidth="1"/>
    <col min="12" max="12" width="11.7109375" bestFit="1" customWidth="1"/>
    <col min="13" max="13" width="9.85546875" bestFit="1" customWidth="1"/>
  </cols>
  <sheetData>
    <row r="1" spans="1:13">
      <c r="A1" s="26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8" t="s">
        <v>212</v>
      </c>
    </row>
    <row r="2" spans="1:13">
      <c r="A2" s="22" t="s">
        <v>22</v>
      </c>
      <c r="B2" s="23" t="s">
        <v>23</v>
      </c>
      <c r="C2" s="23" t="s">
        <v>551</v>
      </c>
      <c r="D2" s="23" t="s">
        <v>239</v>
      </c>
      <c r="E2" s="23" t="s">
        <v>0</v>
      </c>
      <c r="F2" s="23" t="s">
        <v>262</v>
      </c>
      <c r="G2" s="23" t="s">
        <v>25</v>
      </c>
      <c r="H2" s="23" t="s">
        <v>26</v>
      </c>
      <c r="I2" s="23" t="s">
        <v>0</v>
      </c>
      <c r="J2" s="23" t="s">
        <v>27</v>
      </c>
      <c r="K2" s="23" t="s">
        <v>0</v>
      </c>
      <c r="L2" s="23" t="s">
        <v>0</v>
      </c>
      <c r="M2" s="25"/>
    </row>
    <row r="3" spans="1:13">
      <c r="A3" s="18" t="s">
        <v>16</v>
      </c>
      <c r="B3" s="19" t="s">
        <v>17</v>
      </c>
      <c r="C3" s="19" t="s">
        <v>552</v>
      </c>
      <c r="D3" s="19" t="s">
        <v>238</v>
      </c>
      <c r="E3" s="19" t="s">
        <v>0</v>
      </c>
      <c r="F3" s="19" t="s">
        <v>261</v>
      </c>
      <c r="G3" s="19" t="s">
        <v>19</v>
      </c>
      <c r="H3" s="19" t="s">
        <v>20</v>
      </c>
      <c r="I3" s="19" t="s">
        <v>0</v>
      </c>
      <c r="J3" s="19" t="s">
        <v>21</v>
      </c>
      <c r="K3" s="19" t="s">
        <v>0</v>
      </c>
      <c r="L3" s="19" t="s">
        <v>0</v>
      </c>
      <c r="M3" s="21"/>
    </row>
    <row r="4" spans="1:13">
      <c r="A4" s="150" t="s">
        <v>151</v>
      </c>
      <c r="B4" s="151" t="s">
        <v>152</v>
      </c>
      <c r="C4" s="151" t="s">
        <v>153</v>
      </c>
      <c r="D4" s="151" t="s">
        <v>251</v>
      </c>
      <c r="E4" s="151" t="s">
        <v>283</v>
      </c>
      <c r="F4" s="151" t="s">
        <v>0</v>
      </c>
      <c r="G4" s="151" t="s">
        <v>154</v>
      </c>
      <c r="H4" s="151" t="s">
        <v>0</v>
      </c>
      <c r="I4" s="151" t="s">
        <v>0</v>
      </c>
      <c r="J4" s="151" t="s">
        <v>0</v>
      </c>
      <c r="K4" s="151" t="s">
        <v>0</v>
      </c>
      <c r="L4" s="151" t="s">
        <v>155</v>
      </c>
      <c r="M4" s="152"/>
    </row>
    <row r="5" spans="1:13">
      <c r="A5" s="154" t="s">
        <v>156</v>
      </c>
      <c r="B5" s="155" t="s">
        <v>157</v>
      </c>
      <c r="C5" s="155" t="s">
        <v>158</v>
      </c>
      <c r="D5" s="155" t="s">
        <v>252</v>
      </c>
      <c r="E5" s="155" t="s">
        <v>284</v>
      </c>
      <c r="F5" s="155" t="s">
        <v>0</v>
      </c>
      <c r="G5" s="155" t="s">
        <v>159</v>
      </c>
      <c r="H5" s="155" t="s">
        <v>160</v>
      </c>
      <c r="I5" s="155" t="s">
        <v>0</v>
      </c>
      <c r="J5" s="155" t="s">
        <v>0</v>
      </c>
      <c r="K5" s="155" t="s">
        <v>0</v>
      </c>
      <c r="L5" s="155" t="s">
        <v>161</v>
      </c>
      <c r="M5" s="156"/>
    </row>
    <row r="6" spans="1:13">
      <c r="A6" s="22" t="s">
        <v>124</v>
      </c>
      <c r="B6" s="23" t="s">
        <v>125</v>
      </c>
      <c r="C6" s="23" t="s">
        <v>126</v>
      </c>
      <c r="D6" s="19" t="s">
        <v>244</v>
      </c>
      <c r="E6" s="23" t="s">
        <v>280</v>
      </c>
      <c r="F6" s="23" t="s">
        <v>0</v>
      </c>
      <c r="G6" s="23" t="s">
        <v>127</v>
      </c>
      <c r="H6" s="23" t="s">
        <v>0</v>
      </c>
      <c r="I6" s="23" t="s">
        <v>0</v>
      </c>
      <c r="J6" s="23" t="s">
        <v>0</v>
      </c>
      <c r="K6" s="23" t="s">
        <v>128</v>
      </c>
      <c r="L6" s="23" t="s">
        <v>274</v>
      </c>
      <c r="M6" s="25"/>
    </row>
    <row r="7" spans="1:13">
      <c r="A7" s="18" t="s">
        <v>119</v>
      </c>
      <c r="B7" s="19" t="s">
        <v>120</v>
      </c>
      <c r="C7" s="19" t="s">
        <v>121</v>
      </c>
      <c r="D7" s="19" t="s">
        <v>286</v>
      </c>
      <c r="E7" s="19" t="s">
        <v>279</v>
      </c>
      <c r="F7" s="19" t="s">
        <v>0</v>
      </c>
      <c r="G7" s="19" t="s">
        <v>122</v>
      </c>
      <c r="H7" s="19" t="s">
        <v>0</v>
      </c>
      <c r="I7" s="19" t="s">
        <v>0</v>
      </c>
      <c r="J7" s="19" t="s">
        <v>0</v>
      </c>
      <c r="K7" s="19" t="s">
        <v>123</v>
      </c>
      <c r="L7" s="19" t="s">
        <v>273</v>
      </c>
      <c r="M7" s="21"/>
    </row>
    <row r="8" spans="1:13">
      <c r="A8" s="18" t="s">
        <v>97</v>
      </c>
      <c r="B8" s="19" t="s">
        <v>98</v>
      </c>
      <c r="C8" s="19" t="s">
        <v>99</v>
      </c>
      <c r="D8" s="19" t="s">
        <v>242</v>
      </c>
      <c r="E8" s="19" t="s">
        <v>0</v>
      </c>
      <c r="F8" s="19" t="s">
        <v>0</v>
      </c>
      <c r="G8" s="19" t="s">
        <v>100</v>
      </c>
      <c r="H8" s="19" t="s">
        <v>0</v>
      </c>
      <c r="I8" s="19" t="s">
        <v>101</v>
      </c>
      <c r="J8" s="19" t="s">
        <v>0</v>
      </c>
      <c r="K8" s="19" t="s">
        <v>102</v>
      </c>
      <c r="L8" s="19" t="s">
        <v>269</v>
      </c>
      <c r="M8" s="21"/>
    </row>
    <row r="9" spans="1:13">
      <c r="A9" s="22" t="s">
        <v>103</v>
      </c>
      <c r="B9" s="23" t="s">
        <v>104</v>
      </c>
      <c r="C9" s="23" t="s">
        <v>105</v>
      </c>
      <c r="D9" s="23" t="s">
        <v>243</v>
      </c>
      <c r="E9" s="23" t="s">
        <v>0</v>
      </c>
      <c r="F9" s="23" t="s">
        <v>0</v>
      </c>
      <c r="G9" s="23" t="s">
        <v>106</v>
      </c>
      <c r="H9" s="23" t="s">
        <v>0</v>
      </c>
      <c r="I9" s="23" t="s">
        <v>107</v>
      </c>
      <c r="J9" s="23" t="s">
        <v>0</v>
      </c>
      <c r="K9" s="23" t="s">
        <v>108</v>
      </c>
      <c r="L9" s="23" t="s">
        <v>270</v>
      </c>
      <c r="M9" s="25"/>
    </row>
    <row r="10" spans="1:13">
      <c r="A10" s="22" t="s">
        <v>114</v>
      </c>
      <c r="B10" s="23" t="s">
        <v>115</v>
      </c>
      <c r="C10" s="23" t="s">
        <v>116</v>
      </c>
      <c r="D10" s="23" t="s">
        <v>246</v>
      </c>
      <c r="E10" s="23" t="s">
        <v>281</v>
      </c>
      <c r="F10" s="23" t="s">
        <v>0</v>
      </c>
      <c r="G10" s="23" t="s">
        <v>0</v>
      </c>
      <c r="H10" s="23" t="s">
        <v>0</v>
      </c>
      <c r="I10" s="23" t="s">
        <v>117</v>
      </c>
      <c r="J10" s="23" t="s">
        <v>0</v>
      </c>
      <c r="K10" s="23" t="s">
        <v>118</v>
      </c>
      <c r="L10" s="23" t="s">
        <v>272</v>
      </c>
      <c r="M10" s="25"/>
    </row>
    <row r="11" spans="1:13">
      <c r="A11" s="18" t="s">
        <v>109</v>
      </c>
      <c r="B11" s="19" t="s">
        <v>110</v>
      </c>
      <c r="C11" s="19" t="s">
        <v>111</v>
      </c>
      <c r="D11" s="19" t="s">
        <v>245</v>
      </c>
      <c r="E11" s="19" t="s">
        <v>282</v>
      </c>
      <c r="F11" s="19" t="s">
        <v>0</v>
      </c>
      <c r="G11" s="19" t="s">
        <v>0</v>
      </c>
      <c r="H11" s="19" t="s">
        <v>0</v>
      </c>
      <c r="I11" s="19" t="s">
        <v>112</v>
      </c>
      <c r="J11" s="19" t="s">
        <v>0</v>
      </c>
      <c r="K11" s="19" t="s">
        <v>113</v>
      </c>
      <c r="L11" s="19" t="s">
        <v>271</v>
      </c>
      <c r="M11" s="21"/>
    </row>
    <row r="12" spans="1:13">
      <c r="A12" s="18" t="s">
        <v>139</v>
      </c>
      <c r="B12" s="19" t="s">
        <v>140</v>
      </c>
      <c r="C12" s="19" t="s">
        <v>141</v>
      </c>
      <c r="D12" s="19" t="s">
        <v>0</v>
      </c>
      <c r="E12" s="19" t="s">
        <v>0</v>
      </c>
      <c r="F12" s="19" t="s">
        <v>0</v>
      </c>
      <c r="G12" s="19" t="s">
        <v>142</v>
      </c>
      <c r="H12" s="19" t="s">
        <v>83</v>
      </c>
      <c r="I12" s="19" t="s">
        <v>0</v>
      </c>
      <c r="J12" s="19" t="s">
        <v>0</v>
      </c>
      <c r="K12" s="19" t="s">
        <v>143</v>
      </c>
      <c r="L12" s="19" t="s">
        <v>277</v>
      </c>
      <c r="M12" s="21"/>
    </row>
    <row r="13" spans="1:13">
      <c r="A13" s="22" t="s">
        <v>144</v>
      </c>
      <c r="B13" s="23" t="s">
        <v>145</v>
      </c>
      <c r="C13" s="23" t="s">
        <v>146</v>
      </c>
      <c r="D13" s="23" t="s">
        <v>0</v>
      </c>
      <c r="E13" s="23" t="s">
        <v>0</v>
      </c>
      <c r="F13" s="23" t="s">
        <v>0</v>
      </c>
      <c r="G13" s="23" t="s">
        <v>147</v>
      </c>
      <c r="H13" s="23" t="s">
        <v>95</v>
      </c>
      <c r="I13" s="23" t="s">
        <v>148</v>
      </c>
      <c r="J13" s="23" t="s">
        <v>0</v>
      </c>
      <c r="K13" s="23" t="s">
        <v>149</v>
      </c>
      <c r="L13" s="23" t="s">
        <v>278</v>
      </c>
      <c r="M13" s="25"/>
    </row>
    <row r="14" spans="1:13">
      <c r="A14" s="18" t="s">
        <v>129</v>
      </c>
      <c r="B14" s="19" t="s">
        <v>130</v>
      </c>
      <c r="C14" s="19" t="s">
        <v>131</v>
      </c>
      <c r="D14" s="19" t="s">
        <v>247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132</v>
      </c>
      <c r="J14" s="19" t="s">
        <v>0</v>
      </c>
      <c r="K14" s="19" t="s">
        <v>133</v>
      </c>
      <c r="L14" s="19" t="s">
        <v>275</v>
      </c>
      <c r="M14" s="21"/>
    </row>
    <row r="15" spans="1:13">
      <c r="A15" s="22" t="s">
        <v>134</v>
      </c>
      <c r="B15" s="23" t="s">
        <v>135</v>
      </c>
      <c r="C15" s="23" t="s">
        <v>136</v>
      </c>
      <c r="D15" s="23" t="s">
        <v>248</v>
      </c>
      <c r="E15" s="23" t="s">
        <v>0</v>
      </c>
      <c r="F15" s="23" t="s">
        <v>0</v>
      </c>
      <c r="G15" s="23" t="s">
        <v>0</v>
      </c>
      <c r="H15" s="23" t="s">
        <v>0</v>
      </c>
      <c r="I15" s="23" t="s">
        <v>137</v>
      </c>
      <c r="J15" s="23" t="s">
        <v>0</v>
      </c>
      <c r="K15" s="23" t="s">
        <v>138</v>
      </c>
      <c r="L15" s="23" t="s">
        <v>276</v>
      </c>
      <c r="M15" s="25"/>
    </row>
    <row r="16" spans="1:13">
      <c r="A16" s="150" t="s">
        <v>162</v>
      </c>
      <c r="B16" s="151" t="s">
        <v>163</v>
      </c>
      <c r="C16" s="151" t="s">
        <v>164</v>
      </c>
      <c r="D16" s="151" t="s">
        <v>0</v>
      </c>
      <c r="E16" s="151" t="s">
        <v>0</v>
      </c>
      <c r="F16" s="151" t="s">
        <v>259</v>
      </c>
      <c r="G16" s="151" t="s">
        <v>0</v>
      </c>
      <c r="H16" s="151" t="s">
        <v>0</v>
      </c>
      <c r="I16" s="151" t="s">
        <v>165</v>
      </c>
      <c r="J16" s="151" t="s">
        <v>0</v>
      </c>
      <c r="K16" s="151" t="s">
        <v>208</v>
      </c>
      <c r="L16" s="151" t="s">
        <v>166</v>
      </c>
      <c r="M16" s="152"/>
    </row>
    <row r="17" spans="1:13">
      <c r="A17" s="154" t="s">
        <v>167</v>
      </c>
      <c r="B17" s="155" t="s">
        <v>168</v>
      </c>
      <c r="C17" s="155" t="s">
        <v>169</v>
      </c>
      <c r="D17" s="155" t="s">
        <v>0</v>
      </c>
      <c r="E17" s="155" t="s">
        <v>0</v>
      </c>
      <c r="F17" s="155" t="s">
        <v>260</v>
      </c>
      <c r="G17" s="155" t="s">
        <v>0</v>
      </c>
      <c r="H17" s="155" t="s">
        <v>0</v>
      </c>
      <c r="I17" s="155" t="s">
        <v>170</v>
      </c>
      <c r="J17" s="155" t="s">
        <v>0</v>
      </c>
      <c r="K17" s="155" t="s">
        <v>209</v>
      </c>
      <c r="L17" s="155" t="s">
        <v>171</v>
      </c>
      <c r="M17" s="156"/>
    </row>
    <row r="18" spans="1:13">
      <c r="A18" s="18" t="s">
        <v>73</v>
      </c>
      <c r="B18" s="19" t="s">
        <v>74</v>
      </c>
      <c r="C18" s="19" t="s">
        <v>553</v>
      </c>
      <c r="D18" s="19" t="s">
        <v>0</v>
      </c>
      <c r="E18" s="19" t="s">
        <v>0</v>
      </c>
      <c r="F18" s="19" t="s">
        <v>255</v>
      </c>
      <c r="G18" s="19" t="s">
        <v>76</v>
      </c>
      <c r="H18" s="19" t="s">
        <v>0</v>
      </c>
      <c r="I18" s="19" t="s">
        <v>77</v>
      </c>
      <c r="J18" s="19" t="s">
        <v>0</v>
      </c>
      <c r="K18" s="19" t="s">
        <v>78</v>
      </c>
      <c r="L18" s="19" t="s">
        <v>0</v>
      </c>
      <c r="M18" s="21"/>
    </row>
    <row r="19" spans="1:13">
      <c r="A19" s="18" t="s">
        <v>85</v>
      </c>
      <c r="B19" s="19" t="s">
        <v>86</v>
      </c>
      <c r="C19" s="19" t="s">
        <v>554</v>
      </c>
      <c r="D19" s="19" t="s">
        <v>0</v>
      </c>
      <c r="E19" s="19" t="s">
        <v>0</v>
      </c>
      <c r="F19" s="19" t="s">
        <v>257</v>
      </c>
      <c r="G19" s="19" t="s">
        <v>88</v>
      </c>
      <c r="H19" s="19" t="s">
        <v>0</v>
      </c>
      <c r="I19" s="19" t="s">
        <v>89</v>
      </c>
      <c r="J19" s="19" t="s">
        <v>0</v>
      </c>
      <c r="K19" s="19" t="s">
        <v>90</v>
      </c>
      <c r="L19" s="19" t="s">
        <v>0</v>
      </c>
      <c r="M19" s="21"/>
    </row>
    <row r="20" spans="1:13">
      <c r="A20" s="22" t="s">
        <v>79</v>
      </c>
      <c r="B20" s="23" t="s">
        <v>80</v>
      </c>
      <c r="C20" s="23" t="s">
        <v>555</v>
      </c>
      <c r="D20" s="23" t="s">
        <v>0</v>
      </c>
      <c r="E20" s="23" t="s">
        <v>0</v>
      </c>
      <c r="F20" s="23" t="s">
        <v>256</v>
      </c>
      <c r="G20" s="23" t="s">
        <v>82</v>
      </c>
      <c r="H20" s="23" t="s">
        <v>83</v>
      </c>
      <c r="I20" s="23" t="s">
        <v>0</v>
      </c>
      <c r="J20" s="23" t="s">
        <v>0</v>
      </c>
      <c r="K20" s="23" t="s">
        <v>84</v>
      </c>
      <c r="L20" s="23" t="s">
        <v>0</v>
      </c>
      <c r="M20" s="25"/>
    </row>
    <row r="21" spans="1:13">
      <c r="A21" s="22" t="s">
        <v>91</v>
      </c>
      <c r="B21" s="23" t="s">
        <v>92</v>
      </c>
      <c r="C21" s="23" t="s">
        <v>556</v>
      </c>
      <c r="D21" s="23" t="s">
        <v>0</v>
      </c>
      <c r="E21" s="23" t="s">
        <v>0</v>
      </c>
      <c r="F21" s="23" t="s">
        <v>258</v>
      </c>
      <c r="G21" s="23" t="s">
        <v>94</v>
      </c>
      <c r="H21" s="23" t="s">
        <v>95</v>
      </c>
      <c r="I21" s="23" t="s">
        <v>0</v>
      </c>
      <c r="J21" s="23" t="s">
        <v>0</v>
      </c>
      <c r="K21" s="23" t="s">
        <v>96</v>
      </c>
      <c r="L21" s="23" t="s">
        <v>0</v>
      </c>
      <c r="M21" s="25"/>
    </row>
    <row r="22" spans="1:13">
      <c r="A22" s="18">
        <v>6</v>
      </c>
      <c r="B22" s="19" t="s">
        <v>64</v>
      </c>
      <c r="C22" s="19" t="s">
        <v>65</v>
      </c>
      <c r="D22" s="19" t="s">
        <v>0</v>
      </c>
      <c r="E22" s="19" t="s">
        <v>0</v>
      </c>
      <c r="F22" s="19" t="s">
        <v>0</v>
      </c>
      <c r="G22" s="23" t="s">
        <v>344</v>
      </c>
      <c r="H22" s="19"/>
      <c r="I22" s="19" t="s">
        <v>66</v>
      </c>
      <c r="J22" s="19"/>
      <c r="K22" s="19" t="s">
        <v>67</v>
      </c>
      <c r="L22" s="19"/>
      <c r="M22" s="21"/>
    </row>
    <row r="23" spans="1:13">
      <c r="A23" s="22" t="s">
        <v>68</v>
      </c>
      <c r="B23" s="23" t="s">
        <v>69</v>
      </c>
      <c r="C23" s="23" t="s">
        <v>70</v>
      </c>
      <c r="D23" s="23" t="s">
        <v>0</v>
      </c>
      <c r="E23" s="23" t="s">
        <v>0</v>
      </c>
      <c r="F23" s="23" t="s">
        <v>0</v>
      </c>
      <c r="G23" s="23" t="s">
        <v>346</v>
      </c>
      <c r="H23" s="23"/>
      <c r="I23" s="23" t="s">
        <v>71</v>
      </c>
      <c r="J23" s="23"/>
      <c r="K23" s="23" t="s">
        <v>72</v>
      </c>
      <c r="L23" s="23"/>
      <c r="M23" s="25"/>
    </row>
    <row r="24" spans="1:13">
      <c r="A24" s="150" t="s">
        <v>186</v>
      </c>
      <c r="B24" s="151" t="s">
        <v>187</v>
      </c>
      <c r="C24" s="151" t="s">
        <v>188</v>
      </c>
      <c r="D24" s="151" t="s">
        <v>0</v>
      </c>
      <c r="E24" s="151" t="s">
        <v>0</v>
      </c>
      <c r="F24" s="151" t="s">
        <v>0</v>
      </c>
      <c r="G24" s="151" t="s">
        <v>0</v>
      </c>
      <c r="H24" s="151" t="s">
        <v>0</v>
      </c>
      <c r="I24" s="151" t="s">
        <v>189</v>
      </c>
      <c r="J24" s="151" t="s">
        <v>190</v>
      </c>
      <c r="K24" s="151" t="s">
        <v>191</v>
      </c>
      <c r="L24" s="151" t="s">
        <v>0</v>
      </c>
      <c r="M24" s="152"/>
    </row>
    <row r="25" spans="1:13">
      <c r="A25" s="18">
        <v>8</v>
      </c>
      <c r="B25" s="19" t="s">
        <v>59</v>
      </c>
      <c r="C25" s="19" t="s">
        <v>60</v>
      </c>
      <c r="D25" s="19" t="s">
        <v>241</v>
      </c>
      <c r="E25" s="19" t="s">
        <v>0</v>
      </c>
      <c r="F25" s="19" t="s">
        <v>0</v>
      </c>
      <c r="G25" s="19" t="s">
        <v>61</v>
      </c>
      <c r="H25" s="19" t="s">
        <v>0</v>
      </c>
      <c r="I25" s="19" t="s">
        <v>62</v>
      </c>
      <c r="J25" s="19" t="s">
        <v>63</v>
      </c>
      <c r="K25" s="19" t="s">
        <v>232</v>
      </c>
      <c r="L25" s="19"/>
      <c r="M25" s="21"/>
    </row>
    <row r="26" spans="1:13" s="153" customFormat="1">
      <c r="A26" s="22">
        <v>7</v>
      </c>
      <c r="B26" s="23" t="s">
        <v>54</v>
      </c>
      <c r="C26" s="23" t="s">
        <v>55</v>
      </c>
      <c r="D26" s="23" t="s">
        <v>240</v>
      </c>
      <c r="E26" s="23" t="s">
        <v>0</v>
      </c>
      <c r="F26" s="23" t="s">
        <v>0</v>
      </c>
      <c r="G26" s="23" t="s">
        <v>56</v>
      </c>
      <c r="H26" s="23" t="s">
        <v>0</v>
      </c>
      <c r="I26" s="23" t="s">
        <v>57</v>
      </c>
      <c r="J26" s="23" t="s">
        <v>58</v>
      </c>
      <c r="K26" s="23" t="s">
        <v>233</v>
      </c>
      <c r="L26" s="23"/>
      <c r="M26" s="25"/>
    </row>
    <row r="27" spans="1:13" s="153" customFormat="1">
      <c r="A27" s="160">
        <v>37</v>
      </c>
      <c r="B27" s="24" t="s">
        <v>219</v>
      </c>
      <c r="C27" s="24" t="s">
        <v>225</v>
      </c>
      <c r="D27" s="24"/>
      <c r="E27" s="24" t="s">
        <v>282</v>
      </c>
      <c r="F27" s="24" t="s">
        <v>266</v>
      </c>
      <c r="G27" s="24" t="s">
        <v>185</v>
      </c>
      <c r="H27" s="24"/>
      <c r="I27" s="24"/>
      <c r="J27" s="24" t="s">
        <v>231</v>
      </c>
      <c r="K27" s="24"/>
      <c r="L27" s="24"/>
      <c r="M27" s="161" t="s">
        <v>216</v>
      </c>
    </row>
    <row r="28" spans="1:13" s="153" customFormat="1">
      <c r="A28" s="157">
        <v>36</v>
      </c>
      <c r="B28" s="20" t="s">
        <v>220</v>
      </c>
      <c r="C28" s="20" t="s">
        <v>226</v>
      </c>
      <c r="D28" s="20"/>
      <c r="E28" s="20" t="s">
        <v>281</v>
      </c>
      <c r="F28" s="20" t="s">
        <v>265</v>
      </c>
      <c r="G28" s="20" t="s">
        <v>183</v>
      </c>
      <c r="H28" s="20"/>
      <c r="I28" s="20"/>
      <c r="J28" s="20" t="s">
        <v>230</v>
      </c>
      <c r="K28" s="20"/>
      <c r="L28" s="20"/>
      <c r="M28" s="158" t="s">
        <v>215</v>
      </c>
    </row>
    <row r="29" spans="1:13" s="153" customFormat="1">
      <c r="A29" s="160" t="s">
        <v>211</v>
      </c>
      <c r="B29" s="24" t="s">
        <v>221</v>
      </c>
      <c r="C29" s="24" t="s">
        <v>227</v>
      </c>
      <c r="D29" s="24" t="s">
        <v>250</v>
      </c>
      <c r="E29" s="24"/>
      <c r="F29" s="24" t="s">
        <v>264</v>
      </c>
      <c r="G29" s="24" t="s">
        <v>234</v>
      </c>
      <c r="H29" s="24"/>
      <c r="I29" s="24"/>
      <c r="J29" s="24" t="s">
        <v>33</v>
      </c>
      <c r="K29" s="24"/>
      <c r="L29" s="24"/>
      <c r="M29" s="161" t="s">
        <v>214</v>
      </c>
    </row>
    <row r="30" spans="1:13" s="153" customFormat="1">
      <c r="A30" s="157" t="s">
        <v>210</v>
      </c>
      <c r="B30" s="20" t="s">
        <v>222</v>
      </c>
      <c r="C30" s="20" t="s">
        <v>570</v>
      </c>
      <c r="D30" s="20" t="s">
        <v>249</v>
      </c>
      <c r="E30" s="20"/>
      <c r="F30" s="20" t="s">
        <v>263</v>
      </c>
      <c r="G30" s="20" t="s">
        <v>235</v>
      </c>
      <c r="H30" s="20"/>
      <c r="I30" s="20"/>
      <c r="J30" s="20" t="s">
        <v>40</v>
      </c>
      <c r="K30" s="20"/>
      <c r="L30" s="20"/>
      <c r="M30" s="158" t="s">
        <v>213</v>
      </c>
    </row>
    <row r="31" spans="1:13" s="153" customFormat="1">
      <c r="A31" s="160">
        <v>39</v>
      </c>
      <c r="B31" s="24" t="s">
        <v>223</v>
      </c>
      <c r="C31" s="24" t="s">
        <v>228</v>
      </c>
      <c r="D31" s="24" t="s">
        <v>247</v>
      </c>
      <c r="E31" s="24"/>
      <c r="F31" s="24" t="s">
        <v>268</v>
      </c>
      <c r="G31" s="24" t="s">
        <v>236</v>
      </c>
      <c r="H31" s="24"/>
      <c r="I31" s="24"/>
      <c r="J31" s="24" t="s">
        <v>47</v>
      </c>
      <c r="K31" s="24"/>
      <c r="L31" s="24"/>
      <c r="M31" s="161" t="s">
        <v>218</v>
      </c>
    </row>
    <row r="32" spans="1:13" s="153" customFormat="1">
      <c r="A32" s="157">
        <v>38</v>
      </c>
      <c r="B32" s="20" t="s">
        <v>224</v>
      </c>
      <c r="C32" s="20" t="s">
        <v>229</v>
      </c>
      <c r="D32" s="20" t="s">
        <v>248</v>
      </c>
      <c r="E32" s="20"/>
      <c r="F32" s="162" t="s">
        <v>267</v>
      </c>
      <c r="G32" s="20" t="s">
        <v>237</v>
      </c>
      <c r="H32" s="20"/>
      <c r="I32" s="20"/>
      <c r="J32" s="20" t="s">
        <v>52</v>
      </c>
      <c r="K32" s="20"/>
      <c r="L32" s="20"/>
      <c r="M32" s="158" t="s">
        <v>217</v>
      </c>
    </row>
    <row r="33" spans="1:13" s="153" customFormat="1">
      <c r="A33" s="150" t="s">
        <v>172</v>
      </c>
      <c r="B33" s="151" t="s">
        <v>173</v>
      </c>
      <c r="C33" s="151" t="s">
        <v>174</v>
      </c>
      <c r="D33" s="151" t="s">
        <v>253</v>
      </c>
      <c r="E33" s="151" t="s">
        <v>0</v>
      </c>
      <c r="F33" s="151" t="s">
        <v>0</v>
      </c>
      <c r="G33" s="151" t="s">
        <v>175</v>
      </c>
      <c r="H33" s="151" t="s">
        <v>0</v>
      </c>
      <c r="I33" s="151" t="s">
        <v>0</v>
      </c>
      <c r="J33" s="151" t="s">
        <v>0</v>
      </c>
      <c r="K33" s="151" t="s">
        <v>0</v>
      </c>
      <c r="L33" s="151" t="s">
        <v>0</v>
      </c>
      <c r="M33" s="152"/>
    </row>
    <row r="34" spans="1:13" s="153" customFormat="1">
      <c r="A34" s="154" t="s">
        <v>184</v>
      </c>
      <c r="B34" s="155" t="s">
        <v>202</v>
      </c>
      <c r="C34" s="155">
        <v>3.22</v>
      </c>
      <c r="D34" s="155"/>
      <c r="E34" s="155" t="s">
        <v>0</v>
      </c>
      <c r="F34" s="155" t="s">
        <v>0</v>
      </c>
      <c r="G34" s="155" t="s">
        <v>203</v>
      </c>
      <c r="H34" s="155" t="s">
        <v>204</v>
      </c>
      <c r="I34" s="155" t="s">
        <v>205</v>
      </c>
      <c r="J34" s="155" t="s">
        <v>206</v>
      </c>
      <c r="K34" s="155" t="s">
        <v>0</v>
      </c>
      <c r="L34" s="155" t="s">
        <v>0</v>
      </c>
      <c r="M34" s="156"/>
    </row>
    <row r="35" spans="1:13" s="153" customFormat="1">
      <c r="A35" s="150" t="s">
        <v>180</v>
      </c>
      <c r="B35" s="151" t="s">
        <v>198</v>
      </c>
      <c r="C35" s="151">
        <v>3.23</v>
      </c>
      <c r="D35" s="151"/>
      <c r="E35" s="151" t="s">
        <v>0</v>
      </c>
      <c r="F35" s="151" t="s">
        <v>0</v>
      </c>
      <c r="G35" s="151" t="s">
        <v>199</v>
      </c>
      <c r="H35" s="151" t="s">
        <v>200</v>
      </c>
      <c r="I35" s="151" t="s">
        <v>201</v>
      </c>
      <c r="J35" s="151" t="s">
        <v>207</v>
      </c>
      <c r="K35" s="151" t="s">
        <v>0</v>
      </c>
      <c r="L35" s="151" t="s">
        <v>0</v>
      </c>
      <c r="M35" s="152"/>
    </row>
    <row r="36" spans="1:13" s="159" customFormat="1">
      <c r="A36" s="18" t="s">
        <v>28</v>
      </c>
      <c r="B36" s="19" t="s">
        <v>29</v>
      </c>
      <c r="C36" s="19" t="s">
        <v>557</v>
      </c>
      <c r="D36" s="19" t="s">
        <v>0</v>
      </c>
      <c r="E36" s="19" t="s">
        <v>0</v>
      </c>
      <c r="F36" s="19" t="s">
        <v>0</v>
      </c>
      <c r="G36" s="19" t="s">
        <v>31</v>
      </c>
      <c r="H36" s="19" t="s">
        <v>0</v>
      </c>
      <c r="I36" s="19" t="s">
        <v>32</v>
      </c>
      <c r="J36" s="19" t="s">
        <v>33</v>
      </c>
      <c r="K36" s="19" t="s">
        <v>34</v>
      </c>
      <c r="L36" s="19" t="s">
        <v>0</v>
      </c>
      <c r="M36" s="21"/>
    </row>
    <row r="37" spans="1:13" s="159" customFormat="1">
      <c r="A37" s="22" t="s">
        <v>35</v>
      </c>
      <c r="B37" s="23" t="s">
        <v>36</v>
      </c>
      <c r="C37" s="23" t="s">
        <v>558</v>
      </c>
      <c r="D37" s="23" t="s">
        <v>0</v>
      </c>
      <c r="E37" s="23" t="s">
        <v>0</v>
      </c>
      <c r="F37" s="23" t="s">
        <v>0</v>
      </c>
      <c r="G37" s="23" t="s">
        <v>38</v>
      </c>
      <c r="H37" s="23" t="s">
        <v>0</v>
      </c>
      <c r="I37" s="23" t="s">
        <v>39</v>
      </c>
      <c r="J37" s="23" t="s">
        <v>40</v>
      </c>
      <c r="K37" s="23" t="s">
        <v>41</v>
      </c>
      <c r="L37" s="23" t="s">
        <v>0</v>
      </c>
      <c r="M37" s="25"/>
    </row>
    <row r="38" spans="1:13" s="159" customFormat="1">
      <c r="A38" s="18" t="s">
        <v>42</v>
      </c>
      <c r="B38" s="19" t="s">
        <v>43</v>
      </c>
      <c r="C38" s="19" t="s">
        <v>559</v>
      </c>
      <c r="D38" s="19" t="s">
        <v>0</v>
      </c>
      <c r="E38" s="19" t="s">
        <v>0</v>
      </c>
      <c r="F38" s="19" t="s">
        <v>0</v>
      </c>
      <c r="G38" s="19" t="s">
        <v>45</v>
      </c>
      <c r="H38" s="19" t="s">
        <v>0</v>
      </c>
      <c r="I38" s="19" t="s">
        <v>46</v>
      </c>
      <c r="J38" s="19" t="s">
        <v>47</v>
      </c>
      <c r="K38" s="19" t="s">
        <v>48</v>
      </c>
      <c r="L38" s="19" t="s">
        <v>0</v>
      </c>
      <c r="M38" s="21"/>
    </row>
    <row r="39" spans="1:13" s="159" customFormat="1">
      <c r="A39" s="154" t="s">
        <v>192</v>
      </c>
      <c r="B39" s="155" t="s">
        <v>49</v>
      </c>
      <c r="C39" s="155" t="s">
        <v>561</v>
      </c>
      <c r="D39" s="155" t="s">
        <v>0</v>
      </c>
      <c r="E39" s="155" t="s">
        <v>0</v>
      </c>
      <c r="F39" s="155" t="s">
        <v>0</v>
      </c>
      <c r="G39" s="155" t="s">
        <v>50</v>
      </c>
      <c r="H39" s="155" t="s">
        <v>0</v>
      </c>
      <c r="I39" s="155" t="s">
        <v>51</v>
      </c>
      <c r="J39" s="155" t="s">
        <v>52</v>
      </c>
      <c r="K39" s="155" t="s">
        <v>53</v>
      </c>
      <c r="L39" s="155" t="s">
        <v>0</v>
      </c>
      <c r="M39" s="156"/>
    </row>
    <row r="40" spans="1:13" s="159" customFormat="1">
      <c r="A40" s="22">
        <v>5</v>
      </c>
      <c r="B40" s="23" t="s">
        <v>193</v>
      </c>
      <c r="C40" s="23" t="s">
        <v>560</v>
      </c>
      <c r="D40" s="23" t="s">
        <v>0</v>
      </c>
      <c r="E40" s="23" t="s">
        <v>0</v>
      </c>
      <c r="F40" s="23" t="s">
        <v>0</v>
      </c>
      <c r="G40" s="23" t="s">
        <v>195</v>
      </c>
      <c r="H40" s="23" t="s">
        <v>0</v>
      </c>
      <c r="I40" s="23" t="s">
        <v>196</v>
      </c>
      <c r="J40" s="23" t="s">
        <v>21</v>
      </c>
      <c r="K40" s="23" t="s">
        <v>197</v>
      </c>
      <c r="L40" s="23" t="s">
        <v>0</v>
      </c>
      <c r="M40" s="25"/>
    </row>
    <row r="41" spans="1:13" s="159" customFormat="1">
      <c r="A41" s="154" t="s">
        <v>176</v>
      </c>
      <c r="B41" s="155" t="s">
        <v>177</v>
      </c>
      <c r="C41" s="155" t="s">
        <v>178</v>
      </c>
      <c r="D41" s="155" t="s">
        <v>254</v>
      </c>
      <c r="E41" s="155" t="s">
        <v>0</v>
      </c>
      <c r="F41" s="155" t="s">
        <v>285</v>
      </c>
      <c r="G41" s="155" t="s">
        <v>179</v>
      </c>
      <c r="H41" s="155" t="s">
        <v>0</v>
      </c>
      <c r="I41" s="155" t="s">
        <v>0</v>
      </c>
      <c r="J41" s="155" t="s">
        <v>0</v>
      </c>
      <c r="K41" s="155" t="s">
        <v>0</v>
      </c>
      <c r="L41" s="155" t="s">
        <v>0</v>
      </c>
      <c r="M41" s="156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</sheetData>
  <sortState xmlns:xlrd2="http://schemas.microsoft.com/office/spreadsheetml/2017/richdata2" ref="A2:M41">
    <sortCondition ref="C2:C41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3EF2-98A0-433F-8E4A-255F5D191DD4}">
  <sheetPr>
    <pageSetUpPr fitToPage="1"/>
  </sheetPr>
  <dimension ref="A1:AD37"/>
  <sheetViews>
    <sheetView workbookViewId="0">
      <selection activeCell="K8" sqref="K8"/>
    </sheetView>
  </sheetViews>
  <sheetFormatPr defaultRowHeight="15"/>
  <cols>
    <col min="1" max="1" width="3.140625" bestFit="1" customWidth="1"/>
    <col min="2" max="2" width="4.7109375" bestFit="1" customWidth="1"/>
    <col min="3" max="3" width="8.42578125" bestFit="1" customWidth="1"/>
    <col min="4" max="4" width="4.42578125" style="2" bestFit="1" customWidth="1"/>
    <col min="5" max="5" width="4.7109375" bestFit="1" customWidth="1"/>
    <col min="6" max="6" width="7.85546875" bestFit="1" customWidth="1"/>
    <col min="7" max="7" width="3" bestFit="1" customWidth="1"/>
    <col min="8" max="8" width="5" bestFit="1" customWidth="1"/>
    <col min="9" max="9" width="3.85546875" bestFit="1" customWidth="1"/>
    <col min="10" max="10" width="5.42578125" bestFit="1" customWidth="1"/>
    <col min="11" max="11" width="4.7109375" bestFit="1" customWidth="1"/>
    <col min="12" max="12" width="5.28515625" bestFit="1" customWidth="1"/>
    <col min="13" max="13" width="7.5703125" bestFit="1" customWidth="1"/>
    <col min="14" max="14" width="3.42578125" bestFit="1" customWidth="1"/>
    <col min="16" max="16" width="13" customWidth="1"/>
    <col min="17" max="17" width="3.42578125" bestFit="1" customWidth="1"/>
    <col min="18" max="18" width="3.85546875" bestFit="1" customWidth="1"/>
    <col min="19" max="19" width="5.28515625" bestFit="1" customWidth="1"/>
    <col min="20" max="20" width="4.7109375" bestFit="1" customWidth="1"/>
    <col min="21" max="21" width="5.42578125" bestFit="1" customWidth="1"/>
    <col min="22" max="22" width="3.85546875" bestFit="1" customWidth="1"/>
    <col min="23" max="23" width="5" bestFit="1" customWidth="1"/>
    <col min="24" max="24" width="3" bestFit="1" customWidth="1"/>
    <col min="25" max="25" width="8.7109375" customWidth="1"/>
    <col min="26" max="26" width="5.140625" bestFit="1" customWidth="1"/>
    <col min="27" max="27" width="4.7109375" style="2" bestFit="1" customWidth="1"/>
    <col min="28" max="28" width="8.42578125" bestFit="1" customWidth="1"/>
    <col min="29" max="29" width="3" bestFit="1" customWidth="1"/>
    <col min="30" max="30" width="3.5703125" bestFit="1" customWidth="1"/>
  </cols>
  <sheetData>
    <row r="1" spans="1:30" ht="30.75">
      <c r="A1" s="96" t="s">
        <v>9</v>
      </c>
      <c r="B1" s="96" t="s">
        <v>376</v>
      </c>
      <c r="C1" s="97" t="s">
        <v>377</v>
      </c>
      <c r="D1" s="98" t="s">
        <v>3</v>
      </c>
      <c r="E1" s="99" t="s">
        <v>9</v>
      </c>
      <c r="F1" s="100" t="s">
        <v>11</v>
      </c>
      <c r="G1" s="101" t="s">
        <v>454</v>
      </c>
      <c r="H1" s="102" t="s">
        <v>5</v>
      </c>
      <c r="I1" s="103" t="s">
        <v>8</v>
      </c>
      <c r="J1" s="104" t="s">
        <v>6</v>
      </c>
      <c r="K1" s="105" t="s">
        <v>4</v>
      </c>
      <c r="L1" s="106" t="s">
        <v>12</v>
      </c>
      <c r="M1" s="107" t="s">
        <v>7</v>
      </c>
      <c r="N1" s="108" t="s">
        <v>378</v>
      </c>
      <c r="O1" s="97"/>
      <c r="P1" s="97"/>
      <c r="Q1" s="108" t="s">
        <v>378</v>
      </c>
      <c r="R1" s="107" t="s">
        <v>7</v>
      </c>
      <c r="S1" s="106" t="s">
        <v>12</v>
      </c>
      <c r="T1" s="105" t="s">
        <v>4</v>
      </c>
      <c r="U1" s="104" t="s">
        <v>6</v>
      </c>
      <c r="V1" s="103" t="s">
        <v>8</v>
      </c>
      <c r="W1" s="102" t="s">
        <v>5</v>
      </c>
      <c r="X1" s="109" t="s">
        <v>454</v>
      </c>
      <c r="Y1" s="100" t="s">
        <v>11</v>
      </c>
      <c r="Z1" s="99" t="s">
        <v>9</v>
      </c>
      <c r="AA1" s="98" t="s">
        <v>3</v>
      </c>
      <c r="AB1" s="97" t="s">
        <v>377</v>
      </c>
      <c r="AC1" s="96" t="s">
        <v>376</v>
      </c>
      <c r="AD1" s="96" t="s">
        <v>9</v>
      </c>
    </row>
    <row r="2" spans="1:30">
      <c r="A2" s="110" t="s">
        <v>442</v>
      </c>
      <c r="B2" s="110" t="s">
        <v>379</v>
      </c>
      <c r="C2" s="110"/>
      <c r="D2" s="111"/>
      <c r="E2" s="110"/>
      <c r="F2" s="110"/>
      <c r="H2" s="110"/>
      <c r="I2" s="110"/>
      <c r="J2" s="110"/>
      <c r="K2" s="110"/>
      <c r="L2" s="196" t="s">
        <v>379</v>
      </c>
      <c r="M2" s="196"/>
      <c r="N2" s="196"/>
      <c r="O2" s="113"/>
      <c r="P2" s="113"/>
      <c r="Q2" s="195" t="s">
        <v>380</v>
      </c>
      <c r="R2" s="195"/>
      <c r="S2" s="195"/>
      <c r="T2" s="195"/>
      <c r="U2" s="110"/>
      <c r="V2" s="110"/>
      <c r="W2" s="110"/>
      <c r="X2" s="110"/>
      <c r="Y2" s="110"/>
      <c r="Z2" s="110"/>
      <c r="AA2" s="114"/>
      <c r="AB2" s="110"/>
      <c r="AC2" s="110" t="s">
        <v>443</v>
      </c>
      <c r="AD2" s="110"/>
    </row>
    <row r="3" spans="1:30">
      <c r="A3" s="110"/>
      <c r="B3" s="110"/>
      <c r="C3" s="110" t="s">
        <v>17</v>
      </c>
      <c r="D3" s="114" t="s">
        <v>18</v>
      </c>
      <c r="E3" s="110"/>
      <c r="F3" s="110"/>
      <c r="G3" s="112">
        <v>17</v>
      </c>
      <c r="H3" s="110"/>
      <c r="I3" s="115" t="s">
        <v>399</v>
      </c>
      <c r="J3" s="116" t="s">
        <v>410</v>
      </c>
      <c r="K3" s="117" t="s">
        <v>381</v>
      </c>
      <c r="L3" s="110"/>
      <c r="M3" s="121" t="s">
        <v>504</v>
      </c>
      <c r="N3" s="118">
        <v>0</v>
      </c>
      <c r="O3" s="113"/>
      <c r="P3" s="113"/>
      <c r="Q3" s="195" t="s">
        <v>379</v>
      </c>
      <c r="R3" s="195"/>
      <c r="S3" s="195"/>
      <c r="T3" s="195"/>
      <c r="U3" s="110"/>
      <c r="V3" s="110"/>
      <c r="W3" s="110"/>
      <c r="X3" s="110"/>
      <c r="Y3" s="110"/>
      <c r="Z3" s="110"/>
      <c r="AA3" s="114"/>
      <c r="AB3" s="110"/>
      <c r="AC3" s="110" t="s">
        <v>442</v>
      </c>
      <c r="AD3" s="110" t="s">
        <v>442</v>
      </c>
    </row>
    <row r="4" spans="1:30">
      <c r="A4" s="110"/>
      <c r="B4" s="110"/>
      <c r="C4" s="110" t="s">
        <v>23</v>
      </c>
      <c r="D4" s="114" t="s">
        <v>24</v>
      </c>
      <c r="E4" s="110"/>
      <c r="F4" s="110"/>
      <c r="G4" s="112">
        <v>16</v>
      </c>
      <c r="H4" s="110"/>
      <c r="I4" s="115" t="s">
        <v>401</v>
      </c>
      <c r="J4" s="116" t="s">
        <v>433</v>
      </c>
      <c r="K4" s="117" t="s">
        <v>382</v>
      </c>
      <c r="L4" s="110"/>
      <c r="M4" s="121" t="s">
        <v>505</v>
      </c>
      <c r="N4" s="118">
        <v>1</v>
      </c>
      <c r="O4" s="113"/>
      <c r="P4" s="113"/>
      <c r="Q4" s="195" t="s">
        <v>383</v>
      </c>
      <c r="R4" s="195"/>
      <c r="S4" s="195"/>
      <c r="T4" s="195"/>
      <c r="U4" s="110"/>
      <c r="V4" s="110"/>
      <c r="W4" s="110"/>
      <c r="X4" s="110"/>
      <c r="Y4" s="110"/>
      <c r="Z4" s="110"/>
      <c r="AA4" s="114"/>
      <c r="AB4" s="110"/>
      <c r="AC4" s="110" t="s">
        <v>444</v>
      </c>
      <c r="AD4" s="110">
        <v>3.3</v>
      </c>
    </row>
    <row r="5" spans="1:30">
      <c r="A5" s="110"/>
      <c r="B5" s="110" t="s">
        <v>449</v>
      </c>
      <c r="C5" s="110" t="s">
        <v>29</v>
      </c>
      <c r="D5" s="114" t="s">
        <v>30</v>
      </c>
      <c r="E5" s="119" t="s">
        <v>455</v>
      </c>
      <c r="F5" s="120" t="s">
        <v>34</v>
      </c>
      <c r="G5" s="112">
        <v>6</v>
      </c>
      <c r="H5" s="110"/>
      <c r="I5" s="110"/>
      <c r="J5" s="110"/>
      <c r="K5" s="110"/>
      <c r="L5" s="110"/>
      <c r="M5" s="45" t="s">
        <v>506</v>
      </c>
      <c r="N5" s="118">
        <v>2</v>
      </c>
      <c r="O5" s="113"/>
      <c r="P5" s="113"/>
      <c r="Q5" s="122">
        <v>23</v>
      </c>
      <c r="R5" s="45" t="s">
        <v>524</v>
      </c>
      <c r="S5" s="123" t="s">
        <v>384</v>
      </c>
      <c r="T5" s="110"/>
      <c r="U5" s="110"/>
      <c r="V5" s="115" t="s">
        <v>381</v>
      </c>
      <c r="W5" s="110"/>
      <c r="X5" s="110"/>
      <c r="Y5" s="120" t="s">
        <v>149</v>
      </c>
      <c r="Z5" s="124" t="s">
        <v>463</v>
      </c>
      <c r="AA5" s="114">
        <v>1.25</v>
      </c>
      <c r="AB5" s="110" t="s">
        <v>430</v>
      </c>
      <c r="AC5" s="110"/>
      <c r="AD5" s="110" t="s">
        <v>441</v>
      </c>
    </row>
    <row r="6" spans="1:30">
      <c r="A6" s="110" t="s">
        <v>447</v>
      </c>
      <c r="B6" s="110"/>
      <c r="C6" s="110" t="s">
        <v>36</v>
      </c>
      <c r="D6" s="125" t="s">
        <v>37</v>
      </c>
      <c r="E6" s="124" t="s">
        <v>456</v>
      </c>
      <c r="F6" s="120" t="s">
        <v>41</v>
      </c>
      <c r="G6" s="112">
        <v>7</v>
      </c>
      <c r="H6" s="110"/>
      <c r="I6" s="110"/>
      <c r="J6" s="110"/>
      <c r="K6" s="110"/>
      <c r="L6" s="110"/>
      <c r="M6" s="45" t="s">
        <v>507</v>
      </c>
      <c r="N6" s="118">
        <v>3</v>
      </c>
      <c r="O6" s="113"/>
      <c r="P6" s="113"/>
      <c r="Q6" s="122">
        <v>22</v>
      </c>
      <c r="R6" s="45" t="s">
        <v>525</v>
      </c>
      <c r="S6" s="123" t="s">
        <v>386</v>
      </c>
      <c r="T6" s="110"/>
      <c r="U6" s="110"/>
      <c r="V6" s="115" t="s">
        <v>382</v>
      </c>
      <c r="W6" s="110"/>
      <c r="X6" s="110"/>
      <c r="Y6" s="126">
        <v>0.13055555555555556</v>
      </c>
      <c r="Z6" s="110"/>
      <c r="AA6" s="114">
        <v>1.24</v>
      </c>
      <c r="AB6" s="110" t="s">
        <v>140</v>
      </c>
      <c r="AC6" s="110"/>
      <c r="AD6" s="110"/>
    </row>
    <row r="7" spans="1:30">
      <c r="A7" s="110" t="s">
        <v>441</v>
      </c>
      <c r="B7" s="110"/>
      <c r="C7" s="110" t="s">
        <v>43</v>
      </c>
      <c r="D7" s="125" t="s">
        <v>44</v>
      </c>
      <c r="E7" s="124" t="s">
        <v>457</v>
      </c>
      <c r="F7" s="120" t="s">
        <v>48</v>
      </c>
      <c r="G7" s="112">
        <v>8</v>
      </c>
      <c r="H7" s="110"/>
      <c r="I7" s="110"/>
      <c r="J7" s="110"/>
      <c r="K7" s="110"/>
      <c r="L7" s="110"/>
      <c r="M7" s="45" t="s">
        <v>508</v>
      </c>
      <c r="N7" s="118">
        <v>4</v>
      </c>
      <c r="O7" s="113"/>
      <c r="P7" s="113"/>
      <c r="Q7" s="122">
        <v>21</v>
      </c>
      <c r="S7" s="123" t="s">
        <v>388</v>
      </c>
      <c r="T7" s="117" t="s">
        <v>412</v>
      </c>
      <c r="U7" s="110"/>
      <c r="V7" s="110"/>
      <c r="W7" s="110"/>
      <c r="X7" s="110"/>
      <c r="Y7" s="126">
        <v>0.13263888888888889</v>
      </c>
      <c r="Z7" s="119" t="s">
        <v>464</v>
      </c>
      <c r="AA7" s="114">
        <v>1.27</v>
      </c>
      <c r="AB7" s="110" t="s">
        <v>135</v>
      </c>
      <c r="AC7" s="110"/>
      <c r="AD7" s="110" t="s">
        <v>441</v>
      </c>
    </row>
    <row r="8" spans="1:30">
      <c r="A8" s="110" t="s">
        <v>441</v>
      </c>
      <c r="B8" s="110" t="s">
        <v>450</v>
      </c>
      <c r="C8" s="110" t="s">
        <v>193</v>
      </c>
      <c r="D8" s="114" t="s">
        <v>194</v>
      </c>
      <c r="E8" s="119" t="s">
        <v>458</v>
      </c>
      <c r="F8" s="120" t="s">
        <v>197</v>
      </c>
      <c r="G8" s="112">
        <v>17</v>
      </c>
      <c r="H8" s="110"/>
      <c r="I8" s="110"/>
      <c r="J8" s="110"/>
      <c r="K8" s="128"/>
      <c r="L8" s="110"/>
      <c r="M8" s="45" t="s">
        <v>509</v>
      </c>
      <c r="N8" s="118">
        <v>5</v>
      </c>
      <c r="O8" s="113"/>
      <c r="P8" s="113"/>
      <c r="Q8" s="122">
        <v>20</v>
      </c>
      <c r="S8" s="123" t="s">
        <v>390</v>
      </c>
      <c r="T8" s="129" t="s">
        <v>415</v>
      </c>
      <c r="U8" s="110"/>
      <c r="V8" s="110"/>
      <c r="W8" s="110"/>
      <c r="X8" s="110"/>
      <c r="Y8" s="126">
        <v>0.13194444444444445</v>
      </c>
      <c r="Z8" s="119" t="s">
        <v>465</v>
      </c>
      <c r="AA8" s="114">
        <v>1.26</v>
      </c>
      <c r="AB8" s="110" t="s">
        <v>130</v>
      </c>
      <c r="AC8" s="110"/>
      <c r="AD8" s="110" t="s">
        <v>441</v>
      </c>
    </row>
    <row r="9" spans="1:30">
      <c r="A9" s="110"/>
      <c r="B9" s="110" t="s">
        <v>451</v>
      </c>
      <c r="C9" s="110" t="s">
        <v>64</v>
      </c>
      <c r="D9" s="114" t="s">
        <v>65</v>
      </c>
      <c r="E9" s="119" t="s">
        <v>459</v>
      </c>
      <c r="F9" s="120" t="s">
        <v>67</v>
      </c>
      <c r="G9" s="110"/>
      <c r="H9" s="110"/>
      <c r="I9" s="110"/>
      <c r="J9" s="110"/>
      <c r="K9" s="110"/>
      <c r="L9" s="110"/>
      <c r="M9" s="45" t="s">
        <v>510</v>
      </c>
      <c r="N9" s="118">
        <v>6</v>
      </c>
      <c r="O9" s="113"/>
      <c r="P9" s="113"/>
      <c r="Q9" s="122">
        <v>19</v>
      </c>
      <c r="R9" s="45" t="s">
        <v>527</v>
      </c>
      <c r="S9" s="123" t="s">
        <v>391</v>
      </c>
      <c r="T9" s="129" t="s">
        <v>483</v>
      </c>
      <c r="U9" s="110"/>
      <c r="V9" s="110"/>
      <c r="W9" s="130" t="s">
        <v>392</v>
      </c>
      <c r="X9" s="110"/>
      <c r="Y9" s="126">
        <v>0.125</v>
      </c>
      <c r="Z9" s="110"/>
      <c r="AA9" s="125">
        <v>1.1599999999999999</v>
      </c>
      <c r="AB9" s="110" t="s">
        <v>125</v>
      </c>
      <c r="AC9" s="110" t="s">
        <v>449</v>
      </c>
      <c r="AD9" s="110" t="s">
        <v>445</v>
      </c>
    </row>
    <row r="10" spans="1:30">
      <c r="A10" s="110"/>
      <c r="B10" s="110" t="s">
        <v>452</v>
      </c>
      <c r="C10" s="110" t="s">
        <v>54</v>
      </c>
      <c r="D10" s="114" t="s">
        <v>55</v>
      </c>
      <c r="E10" s="119" t="s">
        <v>460</v>
      </c>
      <c r="F10" s="120" t="s">
        <v>233</v>
      </c>
      <c r="G10" s="112">
        <v>15</v>
      </c>
      <c r="H10" s="110"/>
      <c r="I10" s="110"/>
      <c r="J10" s="110"/>
      <c r="K10" s="117" t="s">
        <v>399</v>
      </c>
      <c r="L10" s="110"/>
      <c r="M10" s="45" t="s">
        <v>511</v>
      </c>
      <c r="N10" s="118">
        <v>7</v>
      </c>
      <c r="O10" s="113"/>
      <c r="P10" s="113"/>
      <c r="Q10" s="122">
        <v>18</v>
      </c>
      <c r="R10" s="45" t="s">
        <v>528</v>
      </c>
      <c r="S10" s="123" t="s">
        <v>394</v>
      </c>
      <c r="T10" s="110"/>
      <c r="U10" s="110"/>
      <c r="V10" s="110"/>
      <c r="W10" s="130" t="s">
        <v>395</v>
      </c>
      <c r="X10" s="110"/>
      <c r="Y10" s="126">
        <v>0.12569444444444444</v>
      </c>
      <c r="Z10" s="110"/>
      <c r="AA10" s="125">
        <v>1.17</v>
      </c>
      <c r="AB10" s="110" t="s">
        <v>120</v>
      </c>
      <c r="AC10" s="110" t="s">
        <v>449</v>
      </c>
      <c r="AD10" s="110" t="s">
        <v>445</v>
      </c>
    </row>
    <row r="11" spans="1:30">
      <c r="A11" s="110"/>
      <c r="B11" s="110"/>
      <c r="C11" s="110" t="s">
        <v>59</v>
      </c>
      <c r="D11" s="114" t="s">
        <v>60</v>
      </c>
      <c r="E11" s="119" t="s">
        <v>461</v>
      </c>
      <c r="F11" s="120" t="s">
        <v>232</v>
      </c>
      <c r="G11" s="112">
        <v>14</v>
      </c>
      <c r="H11" s="110"/>
      <c r="I11" s="110"/>
      <c r="J11" s="110"/>
      <c r="K11" s="117" t="s">
        <v>401</v>
      </c>
      <c r="L11" s="110"/>
      <c r="M11" s="45" t="s">
        <v>512</v>
      </c>
      <c r="N11" s="118">
        <v>8</v>
      </c>
      <c r="O11" s="113"/>
      <c r="P11" s="113"/>
      <c r="Q11" s="122">
        <v>17</v>
      </c>
      <c r="S11" s="123" t="s">
        <v>397</v>
      </c>
      <c r="T11" s="129" t="s">
        <v>414</v>
      </c>
      <c r="U11" s="110"/>
      <c r="V11" s="110"/>
      <c r="W11" s="130" t="s">
        <v>407</v>
      </c>
      <c r="X11" s="110"/>
      <c r="Y11" s="126">
        <v>0.12916666666666668</v>
      </c>
      <c r="Z11" s="110"/>
      <c r="AA11" s="125">
        <v>1.22</v>
      </c>
      <c r="AB11" s="110" t="s">
        <v>115</v>
      </c>
      <c r="AC11" s="110"/>
      <c r="AD11" s="110"/>
    </row>
    <row r="12" spans="1:30">
      <c r="A12" s="110"/>
      <c r="B12" s="110"/>
      <c r="C12" s="110" t="s">
        <v>69</v>
      </c>
      <c r="D12" s="114" t="s">
        <v>70</v>
      </c>
      <c r="E12" s="124" t="s">
        <v>462</v>
      </c>
      <c r="F12" s="120" t="s">
        <v>72</v>
      </c>
      <c r="G12" s="110"/>
      <c r="H12" s="110"/>
      <c r="I12" s="110"/>
      <c r="J12" s="110"/>
      <c r="K12" s="128"/>
      <c r="L12" s="110"/>
      <c r="M12" s="45" t="s">
        <v>513</v>
      </c>
      <c r="N12" s="118">
        <v>9</v>
      </c>
      <c r="O12" s="113"/>
      <c r="P12" s="113"/>
      <c r="Q12" s="122">
        <v>16</v>
      </c>
      <c r="S12" s="123" t="s">
        <v>400</v>
      </c>
      <c r="T12" s="129" t="s">
        <v>411</v>
      </c>
      <c r="U12" s="110"/>
      <c r="V12" s="110"/>
      <c r="W12" s="130" t="s">
        <v>409</v>
      </c>
      <c r="X12" s="110"/>
      <c r="Y12" s="126">
        <v>0.12986111111111112</v>
      </c>
      <c r="Z12" s="110"/>
      <c r="AA12" s="125">
        <v>1.23</v>
      </c>
      <c r="AB12" s="110" t="s">
        <v>110</v>
      </c>
      <c r="AC12" s="110"/>
      <c r="AD12" s="110"/>
    </row>
    <row r="13" spans="1:30">
      <c r="A13" s="110" t="s">
        <v>449</v>
      </c>
      <c r="B13" s="110"/>
      <c r="C13" s="110" t="s">
        <v>74</v>
      </c>
      <c r="D13" s="114" t="s">
        <v>75</v>
      </c>
      <c r="E13" s="119" t="s">
        <v>470</v>
      </c>
      <c r="F13" s="120" t="s">
        <v>78</v>
      </c>
      <c r="G13" s="110"/>
      <c r="H13" s="110"/>
      <c r="I13" s="110"/>
      <c r="J13" s="116" t="s">
        <v>398</v>
      </c>
      <c r="K13" s="128"/>
      <c r="L13" s="110"/>
      <c r="M13" s="45" t="s">
        <v>514</v>
      </c>
      <c r="N13" s="118">
        <v>10</v>
      </c>
      <c r="O13" s="113"/>
      <c r="P13" s="113"/>
      <c r="Q13" s="122">
        <v>15</v>
      </c>
      <c r="R13" s="45" t="s">
        <v>529</v>
      </c>
      <c r="S13" s="123" t="s">
        <v>402</v>
      </c>
      <c r="T13" s="129" t="s">
        <v>393</v>
      </c>
      <c r="U13" s="110"/>
      <c r="V13" s="110"/>
      <c r="W13" s="110"/>
      <c r="X13" s="110"/>
      <c r="Y13" s="126">
        <v>0.12708333333333333</v>
      </c>
      <c r="Z13" s="131" t="s">
        <v>467</v>
      </c>
      <c r="AA13" s="114">
        <v>1.19</v>
      </c>
      <c r="AB13" s="110" t="s">
        <v>104</v>
      </c>
      <c r="AC13" s="110"/>
      <c r="AD13" s="110" t="s">
        <v>446</v>
      </c>
    </row>
    <row r="14" spans="1:30">
      <c r="A14" s="110" t="s">
        <v>448</v>
      </c>
      <c r="B14" s="110" t="s">
        <v>453</v>
      </c>
      <c r="C14" s="110" t="s">
        <v>80</v>
      </c>
      <c r="D14" s="114" t="s">
        <v>81</v>
      </c>
      <c r="E14" s="110"/>
      <c r="F14" s="120" t="s">
        <v>84</v>
      </c>
      <c r="G14" s="110"/>
      <c r="H14" s="110"/>
      <c r="I14" s="115" t="s">
        <v>382</v>
      </c>
      <c r="J14" s="116" t="s">
        <v>431</v>
      </c>
      <c r="K14" s="110"/>
      <c r="L14" s="110"/>
      <c r="M14" s="45" t="s">
        <v>515</v>
      </c>
      <c r="N14" s="118">
        <v>11</v>
      </c>
      <c r="O14" s="113"/>
      <c r="P14" s="113"/>
      <c r="Q14" s="122">
        <v>14</v>
      </c>
      <c r="R14" s="45" t="s">
        <v>530</v>
      </c>
      <c r="S14" s="123" t="s">
        <v>403</v>
      </c>
      <c r="T14" s="129" t="s">
        <v>396</v>
      </c>
      <c r="U14" s="110"/>
      <c r="V14" s="110"/>
      <c r="W14" s="110"/>
      <c r="X14" s="110"/>
      <c r="Y14" s="126">
        <v>0.12638888888888888</v>
      </c>
      <c r="Z14" s="119" t="s">
        <v>466</v>
      </c>
      <c r="AA14" s="114">
        <v>1.18</v>
      </c>
      <c r="AB14" s="110" t="s">
        <v>98</v>
      </c>
      <c r="AC14" s="110"/>
      <c r="AD14" s="110"/>
    </row>
    <row r="15" spans="1:30">
      <c r="A15" s="110" t="s">
        <v>448</v>
      </c>
      <c r="B15" s="110" t="s">
        <v>447</v>
      </c>
      <c r="C15" s="110" t="s">
        <v>86</v>
      </c>
      <c r="D15" s="114" t="s">
        <v>87</v>
      </c>
      <c r="E15" s="119" t="s">
        <v>471</v>
      </c>
      <c r="F15" s="120" t="s">
        <v>90</v>
      </c>
      <c r="G15" s="110"/>
      <c r="H15" s="110"/>
      <c r="I15" s="110"/>
      <c r="J15" s="116" t="s">
        <v>432</v>
      </c>
      <c r="K15" s="110"/>
      <c r="L15" s="110"/>
      <c r="M15" s="45" t="s">
        <v>516</v>
      </c>
      <c r="N15" s="118">
        <v>12</v>
      </c>
      <c r="O15" s="113"/>
      <c r="P15" s="113"/>
      <c r="Q15" s="122">
        <v>13</v>
      </c>
      <c r="R15" s="45" t="s">
        <v>531</v>
      </c>
      <c r="S15" s="132" t="s">
        <v>499</v>
      </c>
      <c r="T15" s="110"/>
      <c r="U15" s="116" t="s">
        <v>404</v>
      </c>
      <c r="V15" s="115" t="s">
        <v>389</v>
      </c>
      <c r="W15" s="110"/>
      <c r="X15" s="110"/>
      <c r="Y15" s="126">
        <v>8.5416666666666655E-2</v>
      </c>
      <c r="Z15" s="110"/>
      <c r="AA15" s="114">
        <v>2.2999999999999998</v>
      </c>
      <c r="AB15" s="110" t="s">
        <v>92</v>
      </c>
      <c r="AC15" s="110" t="s">
        <v>447</v>
      </c>
      <c r="AD15" s="110" t="s">
        <v>448</v>
      </c>
    </row>
    <row r="16" spans="1:30">
      <c r="A16" s="110"/>
      <c r="B16" s="110"/>
      <c r="C16" s="110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0"/>
      <c r="AD16" s="110"/>
    </row>
    <row r="17" spans="1:30">
      <c r="A17" s="110"/>
      <c r="B17" s="110"/>
      <c r="C17" s="110"/>
      <c r="D17" s="114"/>
      <c r="E17" s="114"/>
      <c r="F17" s="114"/>
      <c r="G17" s="114"/>
      <c r="H17" s="114"/>
      <c r="I17" s="114"/>
      <c r="J17" s="114"/>
      <c r="K17" s="148" t="s">
        <v>502</v>
      </c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0"/>
      <c r="AD17" s="110"/>
    </row>
    <row r="18" spans="1:30">
      <c r="A18" s="110"/>
      <c r="B18" s="110"/>
      <c r="C18" s="110" t="s">
        <v>152</v>
      </c>
      <c r="D18" s="125" t="s">
        <v>153</v>
      </c>
      <c r="E18" s="110"/>
      <c r="F18" s="110"/>
      <c r="G18" s="110"/>
      <c r="H18" s="130" t="s">
        <v>385</v>
      </c>
      <c r="I18" s="110"/>
      <c r="J18" s="110"/>
      <c r="K18" s="129" t="s">
        <v>416</v>
      </c>
      <c r="L18" s="123" t="s">
        <v>435</v>
      </c>
      <c r="M18" s="45" t="s">
        <v>518</v>
      </c>
      <c r="N18" s="118">
        <v>24</v>
      </c>
      <c r="O18" s="114"/>
      <c r="P18" s="114"/>
      <c r="Q18" s="118">
        <v>25</v>
      </c>
      <c r="R18" s="45" t="s">
        <v>517</v>
      </c>
      <c r="S18" s="123" t="s">
        <v>436</v>
      </c>
      <c r="T18" s="129" t="s">
        <v>417</v>
      </c>
      <c r="U18" s="114"/>
      <c r="V18" s="114"/>
      <c r="W18" s="130" t="s">
        <v>387</v>
      </c>
      <c r="X18" s="114"/>
      <c r="Y18" s="114"/>
      <c r="Z18" s="114"/>
      <c r="AA18" s="125" t="s">
        <v>158</v>
      </c>
      <c r="AB18" s="110" t="s">
        <v>157</v>
      </c>
      <c r="AC18" s="110"/>
      <c r="AD18" s="110"/>
    </row>
    <row r="19" spans="1:30">
      <c r="A19" s="110"/>
      <c r="B19" s="110"/>
      <c r="C19" s="110" t="s">
        <v>163</v>
      </c>
      <c r="D19" s="125" t="s">
        <v>164</v>
      </c>
      <c r="E19" s="110"/>
      <c r="F19" s="120" t="s">
        <v>208</v>
      </c>
      <c r="G19" s="110"/>
      <c r="H19" s="110"/>
      <c r="I19" s="110"/>
      <c r="J19" s="116" t="s">
        <v>434</v>
      </c>
      <c r="K19" s="127"/>
      <c r="L19" s="123" t="s">
        <v>437</v>
      </c>
      <c r="M19" s="110"/>
      <c r="N19" s="118">
        <v>26</v>
      </c>
      <c r="O19" s="113"/>
      <c r="P19" s="113"/>
      <c r="Q19" s="118">
        <v>27</v>
      </c>
      <c r="R19" s="133"/>
      <c r="S19" s="123" t="s">
        <v>438</v>
      </c>
      <c r="T19" s="110"/>
      <c r="U19" s="116" t="s">
        <v>413</v>
      </c>
      <c r="V19" s="110"/>
      <c r="W19" s="110"/>
      <c r="X19" s="110"/>
      <c r="Y19" s="120" t="s">
        <v>209</v>
      </c>
      <c r="Z19" s="110"/>
      <c r="AA19" s="125" t="s">
        <v>169</v>
      </c>
      <c r="AB19" s="110" t="s">
        <v>168</v>
      </c>
      <c r="AC19" s="110"/>
      <c r="AD19" s="110"/>
    </row>
    <row r="20" spans="1:30">
      <c r="A20" s="110"/>
      <c r="B20" s="110"/>
      <c r="C20" s="110" t="s">
        <v>173</v>
      </c>
      <c r="D20" s="125" t="s">
        <v>174</v>
      </c>
      <c r="E20" s="110"/>
      <c r="F20" s="110"/>
      <c r="G20" s="110"/>
      <c r="H20" s="110"/>
      <c r="I20" s="110"/>
      <c r="J20" s="110"/>
      <c r="K20" s="129" t="s">
        <v>418</v>
      </c>
      <c r="L20" s="110"/>
      <c r="M20" s="45" t="s">
        <v>519</v>
      </c>
      <c r="N20" s="118">
        <v>28</v>
      </c>
      <c r="O20" s="113"/>
      <c r="P20" s="113"/>
      <c r="Q20" s="118">
        <v>29</v>
      </c>
      <c r="R20" s="45" t="s">
        <v>521</v>
      </c>
      <c r="S20" s="134"/>
      <c r="T20" s="129" t="s">
        <v>419</v>
      </c>
      <c r="U20" s="110"/>
      <c r="V20" s="110"/>
      <c r="W20" s="110"/>
      <c r="X20" s="110"/>
      <c r="Y20" s="134"/>
      <c r="Z20" s="110"/>
      <c r="AA20" s="114" t="s">
        <v>178</v>
      </c>
      <c r="AB20" s="110" t="s">
        <v>177</v>
      </c>
      <c r="AC20" s="110"/>
      <c r="AD20" s="110"/>
    </row>
    <row r="21" spans="1:30">
      <c r="A21" s="110"/>
      <c r="B21" s="110"/>
      <c r="C21" s="110" t="s">
        <v>198</v>
      </c>
      <c r="D21" s="114">
        <v>3.23</v>
      </c>
      <c r="E21" s="110"/>
      <c r="F21" s="110"/>
      <c r="G21" s="112">
        <v>23</v>
      </c>
      <c r="H21" s="110"/>
      <c r="I21" s="135" t="s">
        <v>393</v>
      </c>
      <c r="J21" s="110"/>
      <c r="K21" s="110"/>
      <c r="L21" s="110"/>
      <c r="M21" s="40" t="s">
        <v>522</v>
      </c>
      <c r="N21" s="118">
        <v>30</v>
      </c>
      <c r="O21" s="113"/>
      <c r="P21" s="113"/>
      <c r="Q21" s="118">
        <v>31</v>
      </c>
      <c r="R21" s="40" t="s">
        <v>523</v>
      </c>
      <c r="S21" s="134"/>
      <c r="T21" s="110"/>
      <c r="U21" s="134"/>
      <c r="V21" s="115" t="s">
        <v>396</v>
      </c>
      <c r="W21" s="110"/>
      <c r="X21" s="112">
        <v>22</v>
      </c>
      <c r="Y21" s="134"/>
      <c r="Z21" s="110"/>
      <c r="AA21" s="111">
        <v>3.22</v>
      </c>
      <c r="AB21" s="110" t="s">
        <v>202</v>
      </c>
      <c r="AC21" s="110"/>
      <c r="AD21" s="110"/>
    </row>
    <row r="22" spans="1:30">
      <c r="A22" s="110"/>
      <c r="B22" s="110"/>
      <c r="C22" s="110" t="s">
        <v>187</v>
      </c>
      <c r="D22" s="111" t="s">
        <v>188</v>
      </c>
      <c r="E22" s="119" t="s">
        <v>468</v>
      </c>
      <c r="F22" s="126">
        <v>9.1666666666666674E-2</v>
      </c>
      <c r="G22" s="112">
        <v>10</v>
      </c>
      <c r="H22" s="110"/>
      <c r="I22" s="110"/>
      <c r="J22" s="110"/>
      <c r="K22" s="110"/>
      <c r="L22" s="110"/>
      <c r="M22" s="110"/>
      <c r="N22" s="118">
        <v>32</v>
      </c>
      <c r="O22" s="113"/>
      <c r="P22" s="113"/>
      <c r="Q22" s="122">
        <v>33</v>
      </c>
      <c r="R22" s="45" t="s">
        <v>534</v>
      </c>
      <c r="S22" s="110"/>
      <c r="T22" s="110"/>
      <c r="U22" s="110"/>
      <c r="V22" s="135" t="s">
        <v>382</v>
      </c>
      <c r="W22" s="110"/>
      <c r="X22" s="112">
        <v>9</v>
      </c>
      <c r="Y22" s="120" t="s">
        <v>53</v>
      </c>
      <c r="Z22" s="119" t="s">
        <v>469</v>
      </c>
      <c r="AA22" s="114">
        <v>4.7</v>
      </c>
      <c r="AB22" s="110" t="s">
        <v>49</v>
      </c>
      <c r="AC22" s="110"/>
      <c r="AD22" s="110"/>
    </row>
    <row r="23" spans="1:30">
      <c r="A23" s="134"/>
      <c r="B23" s="134"/>
      <c r="C23" s="134"/>
      <c r="D23" s="136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6"/>
      <c r="AB23" s="134"/>
      <c r="AC23" s="127"/>
      <c r="AD23" s="127"/>
    </row>
    <row r="24" spans="1:30">
      <c r="A24" s="134"/>
      <c r="B24" s="134"/>
      <c r="C24" s="134"/>
      <c r="D24" s="136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6"/>
      <c r="AB24" s="134"/>
      <c r="AC24" s="127"/>
      <c r="AD24" s="127"/>
    </row>
    <row r="25" spans="1:30">
      <c r="A25" s="134"/>
      <c r="B25" s="134"/>
      <c r="C25" s="134"/>
      <c r="D25" s="136"/>
      <c r="E25" s="134"/>
      <c r="F25" s="134"/>
      <c r="G25" s="134"/>
      <c r="H25" s="134"/>
      <c r="I25" s="134"/>
      <c r="J25" s="134"/>
      <c r="K25" s="148" t="s">
        <v>501</v>
      </c>
      <c r="L25" s="1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6"/>
      <c r="AB25" s="134"/>
      <c r="AC25" s="127"/>
      <c r="AD25" s="127"/>
    </row>
    <row r="26" spans="1:30">
      <c r="A26" s="134"/>
      <c r="B26" s="134"/>
      <c r="C26" s="134"/>
      <c r="D26" s="136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6"/>
      <c r="AB26" s="134"/>
      <c r="AC26" s="127"/>
      <c r="AD26" s="127"/>
    </row>
    <row r="27" spans="1:30" s="68" customFormat="1" ht="11.25">
      <c r="A27" s="134"/>
      <c r="B27" s="134"/>
      <c r="C27" s="136" t="s">
        <v>222</v>
      </c>
      <c r="D27" s="136" t="s">
        <v>570</v>
      </c>
      <c r="E27" s="134"/>
      <c r="F27" s="137" t="s">
        <v>213</v>
      </c>
      <c r="G27" s="138">
        <v>7</v>
      </c>
      <c r="H27" s="134"/>
      <c r="I27" s="134"/>
      <c r="J27" s="139" t="s">
        <v>488</v>
      </c>
      <c r="K27" s="134"/>
      <c r="L27" s="134"/>
      <c r="M27" s="74" t="s">
        <v>520</v>
      </c>
      <c r="N27" s="140">
        <v>34</v>
      </c>
      <c r="O27" s="141" t="s">
        <v>494</v>
      </c>
      <c r="P27" s="134" t="s">
        <v>485</v>
      </c>
      <c r="Q27" s="141"/>
      <c r="R27" s="141"/>
      <c r="S27" s="134"/>
      <c r="T27" s="141"/>
      <c r="U27" s="134"/>
      <c r="V27" s="134"/>
      <c r="W27" s="134"/>
      <c r="X27" s="141"/>
      <c r="Y27" s="141"/>
      <c r="Z27" s="134"/>
      <c r="AA27" s="141"/>
      <c r="AB27" s="141"/>
      <c r="AC27" s="141"/>
      <c r="AD27" s="141"/>
    </row>
    <row r="28" spans="1:30" s="68" customFormat="1" ht="11.25">
      <c r="A28" s="134"/>
      <c r="B28" s="134"/>
      <c r="C28" s="136" t="s">
        <v>221</v>
      </c>
      <c r="D28" s="136">
        <v>3.14</v>
      </c>
      <c r="E28" s="134"/>
      <c r="F28" s="137" t="s">
        <v>214</v>
      </c>
      <c r="G28" s="138">
        <v>6</v>
      </c>
      <c r="H28" s="134"/>
      <c r="I28" s="134"/>
      <c r="J28" s="139" t="s">
        <v>489</v>
      </c>
      <c r="K28" s="142" t="s">
        <v>487</v>
      </c>
      <c r="L28" s="134"/>
      <c r="M28" s="74" t="s">
        <v>535</v>
      </c>
      <c r="N28" s="140">
        <v>35</v>
      </c>
      <c r="O28" s="134" t="s">
        <v>486</v>
      </c>
      <c r="P28" s="134" t="s">
        <v>495</v>
      </c>
      <c r="Q28" s="141"/>
      <c r="R28" s="141"/>
      <c r="S28" s="134"/>
      <c r="T28" s="141"/>
      <c r="U28" s="134"/>
      <c r="V28" s="134"/>
      <c r="W28" s="134"/>
      <c r="X28" s="141"/>
      <c r="Y28" s="141"/>
      <c r="Z28" s="134"/>
      <c r="AA28" s="141"/>
      <c r="AB28" s="141"/>
      <c r="AC28" s="141"/>
      <c r="AD28" s="141"/>
    </row>
    <row r="29" spans="1:30" s="68" customFormat="1" ht="11.25">
      <c r="A29" s="141"/>
      <c r="B29" s="141"/>
      <c r="C29" s="141"/>
      <c r="D29" s="143"/>
      <c r="E29" s="141"/>
      <c r="F29" s="141"/>
      <c r="G29" s="134"/>
      <c r="H29" s="141"/>
      <c r="I29" s="141"/>
      <c r="J29" s="141"/>
      <c r="K29" s="141"/>
      <c r="L29" s="196" t="s">
        <v>379</v>
      </c>
      <c r="M29" s="196"/>
      <c r="N29" s="196"/>
      <c r="O29" s="141" t="s">
        <v>493</v>
      </c>
      <c r="P29" s="141" t="s">
        <v>496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</row>
    <row r="30" spans="1:30" s="68" customFormat="1">
      <c r="A30" s="141"/>
      <c r="B30" s="141"/>
      <c r="C30" s="136" t="s">
        <v>220</v>
      </c>
      <c r="D30" s="143">
        <v>3.13</v>
      </c>
      <c r="E30" s="141"/>
      <c r="F30" s="144" t="s">
        <v>215</v>
      </c>
      <c r="G30" s="138">
        <v>5</v>
      </c>
      <c r="H30" s="149" t="s">
        <v>407</v>
      </c>
      <c r="I30" s="141"/>
      <c r="J30" s="145" t="s">
        <v>490</v>
      </c>
      <c r="K30" s="141"/>
      <c r="L30" s="141"/>
      <c r="M30" s="82" t="s">
        <v>536</v>
      </c>
      <c r="N30" s="140">
        <v>36</v>
      </c>
      <c r="O30" s="141" t="s">
        <v>492</v>
      </c>
      <c r="P30" s="134" t="s">
        <v>497</v>
      </c>
      <c r="Q30" s="127"/>
      <c r="R30" s="127"/>
      <c r="S30" s="127"/>
      <c r="T30" s="141"/>
      <c r="U30" s="141"/>
      <c r="V30" s="141"/>
      <c r="W30" s="141"/>
      <c r="X30" s="141"/>
      <c r="Y30" s="141"/>
      <c r="Z30" s="141"/>
      <c r="AA30" s="143"/>
      <c r="AB30" s="141"/>
      <c r="AC30" s="141"/>
      <c r="AD30" s="141"/>
    </row>
    <row r="31" spans="1:30">
      <c r="A31" s="127"/>
      <c r="B31" s="127"/>
      <c r="L31" s="195" t="s">
        <v>383</v>
      </c>
      <c r="M31" s="195"/>
      <c r="N31" s="195"/>
      <c r="O31" s="195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46"/>
      <c r="AB31" s="127"/>
      <c r="AC31" s="127"/>
      <c r="AD31" s="127"/>
    </row>
    <row r="32" spans="1:30">
      <c r="A32" s="127"/>
      <c r="B32" s="127"/>
      <c r="C32" s="136" t="s">
        <v>219</v>
      </c>
      <c r="D32" s="143">
        <v>3.12</v>
      </c>
      <c r="E32" s="127"/>
      <c r="F32" s="144" t="s">
        <v>216</v>
      </c>
      <c r="G32" s="147">
        <v>4</v>
      </c>
      <c r="H32" s="149" t="s">
        <v>409</v>
      </c>
      <c r="I32" s="127"/>
      <c r="J32" s="145" t="s">
        <v>491</v>
      </c>
      <c r="K32" s="127"/>
      <c r="L32" s="127"/>
      <c r="M32" s="74" t="s">
        <v>537</v>
      </c>
      <c r="N32" s="140">
        <v>37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46"/>
      <c r="AB32" s="127"/>
      <c r="AC32" s="127"/>
      <c r="AD32" s="127"/>
    </row>
    <row r="33" spans="1:30">
      <c r="A33" s="127"/>
      <c r="B33" s="127"/>
      <c r="C33" s="136" t="s">
        <v>224</v>
      </c>
      <c r="D33" s="136">
        <v>3.17</v>
      </c>
      <c r="E33" s="127"/>
      <c r="F33" s="137" t="s">
        <v>217</v>
      </c>
      <c r="G33" s="138">
        <v>9</v>
      </c>
      <c r="H33" s="127"/>
      <c r="I33" s="127"/>
      <c r="J33" s="127"/>
      <c r="K33" s="142" t="s">
        <v>412</v>
      </c>
      <c r="L33" s="127"/>
      <c r="M33" s="74" t="s">
        <v>538</v>
      </c>
      <c r="N33" s="140">
        <v>38</v>
      </c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46"/>
      <c r="AB33" s="127"/>
      <c r="AC33" s="127"/>
      <c r="AD33" s="127"/>
    </row>
    <row r="34" spans="1:30">
      <c r="A34" s="127"/>
      <c r="B34" s="127"/>
      <c r="C34" s="136" t="s">
        <v>223</v>
      </c>
      <c r="D34" s="136">
        <v>3.16</v>
      </c>
      <c r="E34" s="127"/>
      <c r="F34" s="137" t="s">
        <v>218</v>
      </c>
      <c r="G34" s="138">
        <v>8</v>
      </c>
      <c r="H34" s="127"/>
      <c r="I34" s="127"/>
      <c r="J34" s="127"/>
      <c r="K34" s="142" t="s">
        <v>415</v>
      </c>
      <c r="L34" s="127"/>
      <c r="M34" s="74" t="s">
        <v>539</v>
      </c>
      <c r="N34" s="140">
        <v>39</v>
      </c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46"/>
      <c r="AB34" s="127"/>
      <c r="AC34" s="127"/>
      <c r="AD34" s="127"/>
    </row>
    <row r="35" spans="1:30">
      <c r="A35" s="127"/>
      <c r="B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46"/>
      <c r="AB35" s="127"/>
      <c r="AC35" s="127"/>
      <c r="AD35" s="127"/>
    </row>
    <row r="36" spans="1:30">
      <c r="A36" s="127"/>
      <c r="B36" s="127"/>
      <c r="C36" s="127"/>
      <c r="D36" s="146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46"/>
      <c r="AB36" s="127"/>
      <c r="AC36" s="127"/>
      <c r="AD36" s="127"/>
    </row>
    <row r="37" spans="1:30">
      <c r="A37" s="127"/>
      <c r="B37" s="127"/>
      <c r="C37" s="127"/>
      <c r="D37" s="146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46"/>
      <c r="AB37" s="127"/>
      <c r="AC37" s="127"/>
      <c r="AD37" s="127"/>
    </row>
  </sheetData>
  <mergeCells count="6">
    <mergeCell ref="L31:O31"/>
    <mergeCell ref="L29:N29"/>
    <mergeCell ref="L2:N2"/>
    <mergeCell ref="Q2:T2"/>
    <mergeCell ref="Q3:T3"/>
    <mergeCell ref="Q4:T4"/>
  </mergeCells>
  <pageMargins left="0.7" right="0.7" top="0.75" bottom="0.75" header="0.3" footer="0.3"/>
  <pageSetup scale="78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C246-03A0-4FFF-AF38-F7B7F6DA7DF4}">
  <sheetPr>
    <pageSetUpPr fitToPage="1"/>
  </sheetPr>
  <dimension ref="A1:M59"/>
  <sheetViews>
    <sheetView topLeftCell="A12" workbookViewId="0">
      <selection activeCell="M25" sqref="M25"/>
    </sheetView>
  </sheetViews>
  <sheetFormatPr defaultRowHeight="15"/>
  <cols>
    <col min="1" max="1" width="9.140625" style="2" customWidth="1"/>
    <col min="2" max="2" width="10.140625" style="2" bestFit="1" customWidth="1"/>
    <col min="3" max="3" width="7.85546875" style="2" bestFit="1" customWidth="1"/>
    <col min="4" max="4" width="14.5703125" style="2" customWidth="1"/>
    <col min="5" max="5" width="12.7109375" style="2" bestFit="1" customWidth="1"/>
    <col min="6" max="6" width="31.85546875" style="2" bestFit="1" customWidth="1"/>
    <col min="7" max="7" width="16" style="2" bestFit="1" customWidth="1"/>
    <col min="8" max="8" width="9.5703125" style="2" bestFit="1" customWidth="1"/>
    <col min="9" max="9" width="13.42578125" style="2" bestFit="1" customWidth="1"/>
    <col min="10" max="10" width="8" style="2" bestFit="1" customWidth="1"/>
    <col min="11" max="11" width="12" style="2" bestFit="1" customWidth="1"/>
    <col min="12" max="12" width="11.7109375" style="2" bestFit="1" customWidth="1"/>
    <col min="13" max="13" width="18.85546875" style="2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605</v>
      </c>
    </row>
    <row r="2" spans="1:13">
      <c r="A2" s="2" t="s">
        <v>16</v>
      </c>
      <c r="B2" s="2" t="s">
        <v>17</v>
      </c>
      <c r="C2" s="2" t="s">
        <v>18</v>
      </c>
      <c r="D2" s="2" t="s">
        <v>238</v>
      </c>
      <c r="E2" s="2" t="s">
        <v>0</v>
      </c>
      <c r="F2" s="2" t="s">
        <v>261</v>
      </c>
      <c r="G2" s="2" t="s">
        <v>19</v>
      </c>
      <c r="H2" s="2" t="s">
        <v>20</v>
      </c>
      <c r="I2" s="2" t="s">
        <v>0</v>
      </c>
      <c r="J2" s="2" t="s">
        <v>21</v>
      </c>
      <c r="K2" s="2" t="s">
        <v>0</v>
      </c>
      <c r="L2" s="2" t="s">
        <v>0</v>
      </c>
    </row>
    <row r="3" spans="1:13">
      <c r="A3" s="2" t="s">
        <v>22</v>
      </c>
      <c r="B3" s="2" t="s">
        <v>23</v>
      </c>
      <c r="C3" s="2" t="s">
        <v>24</v>
      </c>
      <c r="D3" s="2" t="s">
        <v>239</v>
      </c>
      <c r="E3" s="2" t="s">
        <v>0</v>
      </c>
      <c r="F3" s="2" t="s">
        <v>262</v>
      </c>
      <c r="G3" s="2" t="s">
        <v>25</v>
      </c>
      <c r="H3" s="2" t="s">
        <v>26</v>
      </c>
      <c r="I3" s="2" t="s">
        <v>0</v>
      </c>
      <c r="J3" s="2" t="s">
        <v>27</v>
      </c>
      <c r="K3" s="2" t="s">
        <v>0</v>
      </c>
      <c r="L3" s="2" t="s">
        <v>0</v>
      </c>
    </row>
    <row r="4" spans="1:13">
      <c r="A4" s="2" t="s">
        <v>28</v>
      </c>
      <c r="B4" s="2" t="s">
        <v>29</v>
      </c>
      <c r="C4" s="2" t="s">
        <v>30</v>
      </c>
      <c r="D4" s="2" t="s">
        <v>0</v>
      </c>
      <c r="E4" s="2" t="s">
        <v>0</v>
      </c>
      <c r="F4" s="2" t="s">
        <v>0</v>
      </c>
      <c r="G4" s="2" t="s">
        <v>31</v>
      </c>
      <c r="H4" s="2" t="s">
        <v>0</v>
      </c>
      <c r="I4" s="2" t="s">
        <v>32</v>
      </c>
      <c r="J4" s="2" t="s">
        <v>33</v>
      </c>
      <c r="K4" s="2" t="s">
        <v>34</v>
      </c>
      <c r="L4" s="2" t="s">
        <v>0</v>
      </c>
    </row>
    <row r="5" spans="1:13">
      <c r="A5" s="2" t="s">
        <v>35</v>
      </c>
      <c r="B5" s="2" t="s">
        <v>36</v>
      </c>
      <c r="C5" s="2" t="s">
        <v>37</v>
      </c>
      <c r="D5" s="2" t="s">
        <v>0</v>
      </c>
      <c r="E5" s="2" t="s">
        <v>0</v>
      </c>
      <c r="F5" s="2" t="s">
        <v>0</v>
      </c>
      <c r="G5" s="2" t="s">
        <v>38</v>
      </c>
      <c r="H5" s="2" t="s">
        <v>0</v>
      </c>
      <c r="I5" s="2" t="s">
        <v>39</v>
      </c>
      <c r="J5" s="2" t="s">
        <v>40</v>
      </c>
      <c r="K5" s="2" t="s">
        <v>41</v>
      </c>
      <c r="L5" s="2" t="s">
        <v>0</v>
      </c>
    </row>
    <row r="6" spans="1:13">
      <c r="A6" s="2" t="s">
        <v>42</v>
      </c>
      <c r="B6" s="2" t="s">
        <v>43</v>
      </c>
      <c r="C6" s="2" t="s">
        <v>44</v>
      </c>
      <c r="D6" s="2" t="s">
        <v>0</v>
      </c>
      <c r="E6" s="2" t="s">
        <v>0</v>
      </c>
      <c r="F6" s="2" t="s">
        <v>0</v>
      </c>
      <c r="G6" s="2" t="s">
        <v>45</v>
      </c>
      <c r="H6" s="2" t="s">
        <v>0</v>
      </c>
      <c r="I6" s="2" t="s">
        <v>46</v>
      </c>
      <c r="J6" s="2" t="s">
        <v>47</v>
      </c>
      <c r="K6" s="2" t="s">
        <v>48</v>
      </c>
      <c r="L6" s="2" t="s">
        <v>0</v>
      </c>
    </row>
    <row r="7" spans="1:13">
      <c r="A7" s="2">
        <v>5</v>
      </c>
      <c r="B7" s="2" t="s">
        <v>193</v>
      </c>
      <c r="C7" s="2" t="s">
        <v>194</v>
      </c>
      <c r="D7" s="2" t="s">
        <v>0</v>
      </c>
      <c r="E7" s="2" t="s">
        <v>0</v>
      </c>
      <c r="F7" s="2" t="s">
        <v>0</v>
      </c>
      <c r="G7" s="2" t="s">
        <v>195</v>
      </c>
      <c r="H7" s="2" t="s">
        <v>0</v>
      </c>
      <c r="I7" s="2" t="s">
        <v>196</v>
      </c>
      <c r="J7" s="2" t="s">
        <v>21</v>
      </c>
      <c r="K7" s="2" t="s">
        <v>197</v>
      </c>
      <c r="L7" s="2" t="s">
        <v>0</v>
      </c>
    </row>
    <row r="8" spans="1:13">
      <c r="A8" s="2">
        <v>6</v>
      </c>
      <c r="B8" s="2" t="s">
        <v>64</v>
      </c>
      <c r="C8" s="2" t="s">
        <v>65</v>
      </c>
      <c r="D8" s="2" t="s">
        <v>0</v>
      </c>
      <c r="E8" s="2" t="s">
        <v>0</v>
      </c>
      <c r="F8" s="2" t="s">
        <v>0</v>
      </c>
      <c r="G8" s="2" t="s">
        <v>344</v>
      </c>
      <c r="I8" s="2" t="s">
        <v>66</v>
      </c>
      <c r="K8" s="2" t="s">
        <v>67</v>
      </c>
    </row>
    <row r="9" spans="1:13">
      <c r="A9" s="2">
        <v>7</v>
      </c>
      <c r="B9" s="2" t="s">
        <v>54</v>
      </c>
      <c r="C9" s="2" t="s">
        <v>55</v>
      </c>
      <c r="D9" s="2" t="s">
        <v>240</v>
      </c>
      <c r="E9" s="2" t="s">
        <v>0</v>
      </c>
      <c r="F9" s="2" t="s">
        <v>0</v>
      </c>
      <c r="G9" s="2" t="s">
        <v>56</v>
      </c>
      <c r="H9" s="2" t="s">
        <v>0</v>
      </c>
      <c r="I9" s="2" t="s">
        <v>57</v>
      </c>
      <c r="J9" s="2" t="s">
        <v>58</v>
      </c>
      <c r="K9" s="2" t="s">
        <v>233</v>
      </c>
    </row>
    <row r="10" spans="1:13">
      <c r="A10" s="2">
        <v>8</v>
      </c>
      <c r="B10" s="2" t="s">
        <v>59</v>
      </c>
      <c r="C10" s="2" t="s">
        <v>60</v>
      </c>
      <c r="D10" s="2" t="s">
        <v>241</v>
      </c>
      <c r="E10" s="2" t="s">
        <v>0</v>
      </c>
      <c r="F10" s="2" t="s">
        <v>0</v>
      </c>
      <c r="G10" s="2" t="s">
        <v>61</v>
      </c>
      <c r="H10" s="2" t="s">
        <v>0</v>
      </c>
      <c r="I10" s="2" t="s">
        <v>62</v>
      </c>
      <c r="J10" s="2" t="s">
        <v>63</v>
      </c>
      <c r="K10" s="2" t="s">
        <v>232</v>
      </c>
    </row>
    <row r="11" spans="1:13">
      <c r="A11" s="2" t="s">
        <v>68</v>
      </c>
      <c r="B11" s="2" t="s">
        <v>69</v>
      </c>
      <c r="C11" s="2" t="s">
        <v>70</v>
      </c>
      <c r="D11" s="2" t="s">
        <v>0</v>
      </c>
      <c r="E11" s="2" t="s">
        <v>0</v>
      </c>
      <c r="F11" s="2" t="s">
        <v>0</v>
      </c>
      <c r="G11" s="2" t="s">
        <v>503</v>
      </c>
      <c r="I11" s="2" t="s">
        <v>71</v>
      </c>
      <c r="K11" s="2" t="s">
        <v>72</v>
      </c>
    </row>
    <row r="12" spans="1:13">
      <c r="A12" s="2" t="s">
        <v>73</v>
      </c>
      <c r="B12" s="2" t="s">
        <v>74</v>
      </c>
      <c r="C12" s="2" t="s">
        <v>75</v>
      </c>
      <c r="D12" s="2" t="s">
        <v>0</v>
      </c>
      <c r="E12" s="2" t="s">
        <v>0</v>
      </c>
      <c r="F12" s="2" t="s">
        <v>255</v>
      </c>
      <c r="G12" s="2" t="s">
        <v>76</v>
      </c>
      <c r="H12" s="2" t="s">
        <v>0</v>
      </c>
      <c r="I12" s="2" t="s">
        <v>77</v>
      </c>
      <c r="J12" s="2" t="s">
        <v>0</v>
      </c>
      <c r="K12" s="2" t="s">
        <v>78</v>
      </c>
      <c r="L12" s="2" t="s">
        <v>0</v>
      </c>
    </row>
    <row r="13" spans="1:13">
      <c r="A13" s="2" t="s">
        <v>79</v>
      </c>
      <c r="B13" s="2" t="s">
        <v>80</v>
      </c>
      <c r="C13" s="2" t="s">
        <v>81</v>
      </c>
      <c r="D13" s="2" t="s">
        <v>0</v>
      </c>
      <c r="E13" s="2" t="s">
        <v>0</v>
      </c>
      <c r="F13" s="2" t="s">
        <v>256</v>
      </c>
      <c r="G13" s="2" t="s">
        <v>82</v>
      </c>
      <c r="H13" s="2" t="s">
        <v>83</v>
      </c>
      <c r="I13" s="2" t="s">
        <v>0</v>
      </c>
      <c r="J13" s="2" t="s">
        <v>0</v>
      </c>
      <c r="K13" s="2" t="s">
        <v>84</v>
      </c>
      <c r="L13" s="2" t="s">
        <v>0</v>
      </c>
    </row>
    <row r="14" spans="1:13">
      <c r="A14" s="2" t="s">
        <v>85</v>
      </c>
      <c r="B14" s="2" t="s">
        <v>86</v>
      </c>
      <c r="C14" s="2" t="s">
        <v>87</v>
      </c>
      <c r="D14" s="2" t="s">
        <v>0</v>
      </c>
      <c r="E14" s="2" t="s">
        <v>0</v>
      </c>
      <c r="F14" s="2" t="s">
        <v>257</v>
      </c>
      <c r="G14" s="2" t="s">
        <v>88</v>
      </c>
      <c r="H14" s="2" t="s">
        <v>0</v>
      </c>
      <c r="I14" s="2" t="s">
        <v>89</v>
      </c>
      <c r="J14" s="2" t="s">
        <v>0</v>
      </c>
      <c r="K14" s="2" t="s">
        <v>90</v>
      </c>
      <c r="L14" s="2" t="s">
        <v>0</v>
      </c>
    </row>
    <row r="15" spans="1:13">
      <c r="A15" s="2" t="s">
        <v>91</v>
      </c>
      <c r="B15" s="2" t="s">
        <v>92</v>
      </c>
      <c r="C15" s="2" t="s">
        <v>93</v>
      </c>
      <c r="D15" s="2" t="s">
        <v>0</v>
      </c>
      <c r="E15" s="2" t="s">
        <v>0</v>
      </c>
      <c r="F15" s="2" t="s">
        <v>258</v>
      </c>
      <c r="G15" s="2" t="s">
        <v>94</v>
      </c>
      <c r="H15" s="2" t="s">
        <v>95</v>
      </c>
      <c r="I15" s="2" t="s">
        <v>0</v>
      </c>
      <c r="J15" s="2" t="s">
        <v>0</v>
      </c>
      <c r="K15" s="2" t="s">
        <v>96</v>
      </c>
      <c r="L15" s="2" t="s">
        <v>0</v>
      </c>
    </row>
    <row r="16" spans="1:13">
      <c r="A16" s="2" t="s">
        <v>97</v>
      </c>
      <c r="B16" s="2" t="s">
        <v>98</v>
      </c>
      <c r="C16" s="2" t="s">
        <v>99</v>
      </c>
      <c r="D16" s="2" t="s">
        <v>242</v>
      </c>
      <c r="E16" s="2" t="s">
        <v>0</v>
      </c>
      <c r="F16" s="2" t="s">
        <v>0</v>
      </c>
      <c r="G16" s="2" t="s">
        <v>100</v>
      </c>
      <c r="H16" s="2" t="s">
        <v>0</v>
      </c>
      <c r="I16" s="2" t="s">
        <v>101</v>
      </c>
      <c r="J16" s="2" t="s">
        <v>0</v>
      </c>
      <c r="K16" s="2" t="s">
        <v>102</v>
      </c>
      <c r="L16" s="2" t="s">
        <v>269</v>
      </c>
    </row>
    <row r="17" spans="1:13">
      <c r="A17" s="2" t="s">
        <v>103</v>
      </c>
      <c r="B17" s="2" t="s">
        <v>104</v>
      </c>
      <c r="C17" s="2" t="s">
        <v>105</v>
      </c>
      <c r="D17" s="2" t="s">
        <v>243</v>
      </c>
      <c r="E17" s="2" t="s">
        <v>0</v>
      </c>
      <c r="F17" s="2" t="s">
        <v>0</v>
      </c>
      <c r="G17" s="2" t="s">
        <v>106</v>
      </c>
      <c r="H17" s="2" t="s">
        <v>0</v>
      </c>
      <c r="I17" s="2" t="s">
        <v>107</v>
      </c>
      <c r="J17" s="2" t="s">
        <v>0</v>
      </c>
      <c r="K17" s="2" t="s">
        <v>108</v>
      </c>
      <c r="L17" s="2" t="s">
        <v>270</v>
      </c>
    </row>
    <row r="18" spans="1:13">
      <c r="A18" s="2" t="s">
        <v>109</v>
      </c>
      <c r="B18" s="2" t="s">
        <v>110</v>
      </c>
      <c r="C18" s="2" t="s">
        <v>111</v>
      </c>
      <c r="D18" s="2" t="s">
        <v>245</v>
      </c>
      <c r="E18" s="2" t="s">
        <v>282</v>
      </c>
      <c r="F18" s="2" t="s">
        <v>0</v>
      </c>
      <c r="G18" s="2" t="s">
        <v>0</v>
      </c>
      <c r="H18" s="2" t="s">
        <v>0</v>
      </c>
      <c r="I18" s="2" t="s">
        <v>112</v>
      </c>
      <c r="J18" s="2" t="s">
        <v>0</v>
      </c>
      <c r="K18" s="2" t="s">
        <v>113</v>
      </c>
      <c r="L18" s="2" t="s">
        <v>271</v>
      </c>
      <c r="M18" s="30" t="s">
        <v>549</v>
      </c>
    </row>
    <row r="19" spans="1:13">
      <c r="A19" s="2" t="s">
        <v>114</v>
      </c>
      <c r="B19" s="2" t="s">
        <v>115</v>
      </c>
      <c r="C19" s="2" t="s">
        <v>116</v>
      </c>
      <c r="D19" s="2" t="s">
        <v>246</v>
      </c>
      <c r="E19" s="2" t="s">
        <v>281</v>
      </c>
      <c r="F19" s="2" t="s">
        <v>0</v>
      </c>
      <c r="G19" s="2" t="s">
        <v>0</v>
      </c>
      <c r="H19" s="2" t="s">
        <v>0</v>
      </c>
      <c r="I19" s="2" t="s">
        <v>117</v>
      </c>
      <c r="J19" s="2" t="s">
        <v>0</v>
      </c>
      <c r="K19" s="2" t="s">
        <v>118</v>
      </c>
      <c r="L19" s="2" t="s">
        <v>272</v>
      </c>
      <c r="M19" s="30" t="s">
        <v>548</v>
      </c>
    </row>
    <row r="20" spans="1:13">
      <c r="A20" s="2" t="s">
        <v>119</v>
      </c>
      <c r="B20" s="2" t="s">
        <v>120</v>
      </c>
      <c r="C20" s="2" t="s">
        <v>121</v>
      </c>
      <c r="D20" s="2" t="s">
        <v>286</v>
      </c>
      <c r="E20" s="2" t="s">
        <v>279</v>
      </c>
      <c r="F20" s="2" t="s">
        <v>0</v>
      </c>
      <c r="G20" s="2" t="s">
        <v>122</v>
      </c>
      <c r="H20" s="2" t="s">
        <v>0</v>
      </c>
      <c r="I20" s="2" t="s">
        <v>0</v>
      </c>
      <c r="J20" s="2" t="s">
        <v>0</v>
      </c>
      <c r="K20" s="2" t="s">
        <v>123</v>
      </c>
      <c r="L20" s="2" t="s">
        <v>273</v>
      </c>
    </row>
    <row r="21" spans="1:13">
      <c r="A21" s="2" t="s">
        <v>124</v>
      </c>
      <c r="B21" s="2" t="s">
        <v>125</v>
      </c>
      <c r="C21" s="2" t="s">
        <v>126</v>
      </c>
      <c r="D21" s="2" t="s">
        <v>244</v>
      </c>
      <c r="E21" s="2" t="s">
        <v>280</v>
      </c>
      <c r="F21" s="2" t="s">
        <v>0</v>
      </c>
      <c r="G21" s="2" t="s">
        <v>127</v>
      </c>
      <c r="H21" s="2" t="s">
        <v>0</v>
      </c>
      <c r="I21" s="2" t="s">
        <v>0</v>
      </c>
      <c r="J21" s="2" t="s">
        <v>0</v>
      </c>
      <c r="K21" s="2" t="s">
        <v>128</v>
      </c>
      <c r="L21" s="2" t="s">
        <v>274</v>
      </c>
    </row>
    <row r="22" spans="1:13">
      <c r="A22" s="2" t="s">
        <v>129</v>
      </c>
      <c r="B22" s="2" t="s">
        <v>130</v>
      </c>
      <c r="C22" s="2" t="s">
        <v>131</v>
      </c>
      <c r="D22" s="2" t="s">
        <v>247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132</v>
      </c>
      <c r="J22" s="2" t="s">
        <v>0</v>
      </c>
      <c r="K22" s="2" t="s">
        <v>133</v>
      </c>
      <c r="L22" s="2" t="s">
        <v>275</v>
      </c>
      <c r="M22" s="2" t="s">
        <v>546</v>
      </c>
    </row>
    <row r="23" spans="1:13">
      <c r="A23" s="2" t="s">
        <v>134</v>
      </c>
      <c r="B23" s="2" t="s">
        <v>135</v>
      </c>
      <c r="C23" s="2" t="s">
        <v>136</v>
      </c>
      <c r="D23" s="2" t="s">
        <v>248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137</v>
      </c>
      <c r="J23" s="2" t="s">
        <v>0</v>
      </c>
      <c r="K23" s="2" t="s">
        <v>138</v>
      </c>
      <c r="L23" s="2" t="s">
        <v>276</v>
      </c>
      <c r="M23" s="2" t="s">
        <v>545</v>
      </c>
    </row>
    <row r="24" spans="1:13">
      <c r="A24" s="2" t="s">
        <v>139</v>
      </c>
      <c r="B24" s="2" t="s">
        <v>140</v>
      </c>
      <c r="C24" s="2" t="s">
        <v>141</v>
      </c>
      <c r="D24" s="2" t="s">
        <v>0</v>
      </c>
      <c r="E24" s="2" t="s">
        <v>0</v>
      </c>
      <c r="F24" s="2" t="s">
        <v>0</v>
      </c>
      <c r="G24" s="2" t="s">
        <v>142</v>
      </c>
      <c r="H24" s="2" t="s">
        <v>83</v>
      </c>
      <c r="I24" s="2" t="s">
        <v>0</v>
      </c>
      <c r="J24" s="2" t="s">
        <v>0</v>
      </c>
      <c r="K24" s="2" t="s">
        <v>143</v>
      </c>
      <c r="L24" s="2" t="s">
        <v>277</v>
      </c>
      <c r="M24" s="30" t="s">
        <v>568</v>
      </c>
    </row>
    <row r="25" spans="1:13">
      <c r="A25" s="2" t="s">
        <v>144</v>
      </c>
      <c r="B25" s="2" t="s">
        <v>145</v>
      </c>
      <c r="C25" s="2" t="s">
        <v>146</v>
      </c>
      <c r="D25" s="2" t="s">
        <v>0</v>
      </c>
      <c r="E25" s="2" t="s">
        <v>0</v>
      </c>
      <c r="F25" s="2" t="s">
        <v>0</v>
      </c>
      <c r="G25" s="2" t="s">
        <v>147</v>
      </c>
      <c r="H25" s="2" t="s">
        <v>95</v>
      </c>
      <c r="I25" s="2" t="s">
        <v>148</v>
      </c>
      <c r="J25" s="2" t="s">
        <v>0</v>
      </c>
      <c r="K25" s="2" t="s">
        <v>149</v>
      </c>
      <c r="L25" s="2" t="s">
        <v>278</v>
      </c>
      <c r="M25" s="30" t="s">
        <v>569</v>
      </c>
    </row>
    <row r="26" spans="1:13">
      <c r="A26" s="2" t="s">
        <v>13</v>
      </c>
      <c r="B26" s="2" t="s">
        <v>14</v>
      </c>
      <c r="C26" s="2" t="s">
        <v>14</v>
      </c>
      <c r="D26" s="2" t="s">
        <v>15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14</v>
      </c>
      <c r="J26" s="2" t="s">
        <v>14</v>
      </c>
      <c r="K26" s="2" t="s">
        <v>150</v>
      </c>
      <c r="L26" s="2" t="s">
        <v>15</v>
      </c>
    </row>
    <row r="27" spans="1:13">
      <c r="A27" s="2" t="s">
        <v>151</v>
      </c>
      <c r="B27" s="2" t="s">
        <v>152</v>
      </c>
      <c r="C27" s="2" t="s">
        <v>153</v>
      </c>
      <c r="D27" s="2" t="s">
        <v>251</v>
      </c>
      <c r="E27" s="2" t="s">
        <v>283</v>
      </c>
      <c r="F27" s="2" t="s">
        <v>0</v>
      </c>
      <c r="G27" s="2" t="s">
        <v>154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155</v>
      </c>
    </row>
    <row r="28" spans="1:13">
      <c r="A28" s="2" t="s">
        <v>156</v>
      </c>
      <c r="B28" s="2" t="s">
        <v>157</v>
      </c>
      <c r="C28" s="2" t="s">
        <v>158</v>
      </c>
      <c r="D28" s="2" t="s">
        <v>252</v>
      </c>
      <c r="E28" s="2" t="s">
        <v>284</v>
      </c>
      <c r="F28" s="2" t="s">
        <v>0</v>
      </c>
      <c r="G28" s="2" t="s">
        <v>159</v>
      </c>
      <c r="H28" s="2" t="s">
        <v>160</v>
      </c>
      <c r="I28" s="2" t="s">
        <v>0</v>
      </c>
      <c r="J28" s="2" t="s">
        <v>0</v>
      </c>
      <c r="K28" s="2" t="s">
        <v>0</v>
      </c>
      <c r="L28" s="2" t="s">
        <v>161</v>
      </c>
    </row>
    <row r="29" spans="1:13">
      <c r="A29" s="2" t="s">
        <v>162</v>
      </c>
      <c r="B29" s="2" t="s">
        <v>163</v>
      </c>
      <c r="C29" s="2" t="s">
        <v>164</v>
      </c>
      <c r="D29" s="2" t="s">
        <v>0</v>
      </c>
      <c r="E29" s="2" t="s">
        <v>0</v>
      </c>
      <c r="F29" s="2" t="s">
        <v>259</v>
      </c>
      <c r="G29" s="2" t="s">
        <v>0</v>
      </c>
      <c r="H29" s="2" t="s">
        <v>0</v>
      </c>
      <c r="I29" s="2" t="s">
        <v>165</v>
      </c>
      <c r="J29" s="2" t="s">
        <v>0</v>
      </c>
      <c r="K29" s="2" t="s">
        <v>208</v>
      </c>
      <c r="L29" s="2" t="s">
        <v>166</v>
      </c>
      <c r="M29" s="164" t="s">
        <v>542</v>
      </c>
    </row>
    <row r="30" spans="1:13">
      <c r="A30" s="2" t="s">
        <v>167</v>
      </c>
      <c r="B30" s="2" t="s">
        <v>168</v>
      </c>
      <c r="C30" s="2" t="s">
        <v>169</v>
      </c>
      <c r="D30" s="2" t="s">
        <v>0</v>
      </c>
      <c r="E30" s="2" t="s">
        <v>0</v>
      </c>
      <c r="F30" s="2" t="s">
        <v>260</v>
      </c>
      <c r="G30" s="2" t="s">
        <v>0</v>
      </c>
      <c r="H30" s="2" t="s">
        <v>0</v>
      </c>
      <c r="I30" s="2" t="s">
        <v>170</v>
      </c>
      <c r="J30" s="2" t="s">
        <v>0</v>
      </c>
      <c r="K30" s="2" t="s">
        <v>209</v>
      </c>
      <c r="L30" s="2" t="s">
        <v>171</v>
      </c>
      <c r="M30" s="164" t="s">
        <v>541</v>
      </c>
    </row>
    <row r="31" spans="1:13">
      <c r="A31" s="2" t="s">
        <v>172</v>
      </c>
      <c r="B31" s="2" t="s">
        <v>173</v>
      </c>
      <c r="C31" s="2" t="s">
        <v>174</v>
      </c>
      <c r="D31" s="2" t="s">
        <v>253</v>
      </c>
      <c r="E31" s="2" t="s">
        <v>0</v>
      </c>
      <c r="F31" s="2" t="s">
        <v>0</v>
      </c>
      <c r="G31" s="2" t="s">
        <v>175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</row>
    <row r="32" spans="1:13">
      <c r="A32" s="2" t="s">
        <v>176</v>
      </c>
      <c r="B32" s="2" t="s">
        <v>177</v>
      </c>
      <c r="C32" s="2" t="s">
        <v>178</v>
      </c>
      <c r="D32" s="2" t="s">
        <v>254</v>
      </c>
      <c r="E32" s="2" t="s">
        <v>0</v>
      </c>
      <c r="F32" s="2" t="s">
        <v>285</v>
      </c>
      <c r="G32" s="2" t="s">
        <v>179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</row>
    <row r="33" spans="1:13">
      <c r="A33" s="2" t="s">
        <v>180</v>
      </c>
      <c r="B33" s="2" t="s">
        <v>198</v>
      </c>
      <c r="C33" s="2">
        <v>3.23</v>
      </c>
      <c r="E33" s="2" t="s">
        <v>0</v>
      </c>
      <c r="F33" s="2" t="s">
        <v>0</v>
      </c>
      <c r="G33" s="2" t="s">
        <v>199</v>
      </c>
      <c r="H33" s="2" t="s">
        <v>200</v>
      </c>
      <c r="I33" s="2" t="s">
        <v>201</v>
      </c>
      <c r="J33" s="2" t="s">
        <v>207</v>
      </c>
      <c r="K33" s="2" t="s">
        <v>0</v>
      </c>
      <c r="L33" s="2" t="s">
        <v>0</v>
      </c>
    </row>
    <row r="34" spans="1:13">
      <c r="A34" s="2" t="s">
        <v>184</v>
      </c>
      <c r="B34" s="2" t="s">
        <v>202</v>
      </c>
      <c r="C34" s="2">
        <v>3.22</v>
      </c>
      <c r="E34" s="2" t="s">
        <v>0</v>
      </c>
      <c r="F34" s="2" t="s">
        <v>0</v>
      </c>
      <c r="G34" s="2" t="s">
        <v>203</v>
      </c>
      <c r="H34" s="2" t="s">
        <v>204</v>
      </c>
      <c r="I34" s="2" t="s">
        <v>205</v>
      </c>
      <c r="J34" s="2" t="s">
        <v>206</v>
      </c>
      <c r="K34" s="2" t="s">
        <v>0</v>
      </c>
      <c r="L34" s="2" t="s">
        <v>0</v>
      </c>
    </row>
    <row r="35" spans="1:13">
      <c r="A35" s="2" t="s">
        <v>186</v>
      </c>
      <c r="B35" s="2" t="s">
        <v>187</v>
      </c>
      <c r="C35" s="2" t="s">
        <v>188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189</v>
      </c>
      <c r="J35" s="2" t="s">
        <v>190</v>
      </c>
      <c r="K35" s="2" t="s">
        <v>191</v>
      </c>
      <c r="L35" s="2" t="s">
        <v>0</v>
      </c>
    </row>
    <row r="36" spans="1:13">
      <c r="A36" s="2" t="s">
        <v>192</v>
      </c>
      <c r="B36" s="2" t="s">
        <v>49</v>
      </c>
      <c r="C36" s="2">
        <v>4.7</v>
      </c>
      <c r="D36" s="2" t="s">
        <v>0</v>
      </c>
      <c r="E36" s="2" t="s">
        <v>0</v>
      </c>
      <c r="F36" s="2" t="s">
        <v>0</v>
      </c>
      <c r="G36" s="2" t="s">
        <v>50</v>
      </c>
      <c r="H36" s="2" t="s">
        <v>0</v>
      </c>
      <c r="I36" s="2" t="s">
        <v>51</v>
      </c>
      <c r="J36" s="2" t="s">
        <v>52</v>
      </c>
      <c r="K36" s="2" t="s">
        <v>53</v>
      </c>
      <c r="L36" s="2" t="s">
        <v>0</v>
      </c>
    </row>
    <row r="37" spans="1:13">
      <c r="A37" s="2" t="s">
        <v>210</v>
      </c>
      <c r="B37" s="2" t="s">
        <v>287</v>
      </c>
      <c r="C37" s="2">
        <v>2.29</v>
      </c>
      <c r="D37" s="2" t="s">
        <v>295</v>
      </c>
      <c r="K37" s="2" t="s">
        <v>307</v>
      </c>
    </row>
    <row r="38" spans="1:13">
      <c r="A38" s="2" t="s">
        <v>211</v>
      </c>
      <c r="B38" s="2" t="s">
        <v>288</v>
      </c>
      <c r="C38" s="2">
        <v>2.2799999999999998</v>
      </c>
      <c r="D38" s="2" t="s">
        <v>296</v>
      </c>
      <c r="K38" s="2" t="s">
        <v>308</v>
      </c>
    </row>
    <row r="39" spans="1:13">
      <c r="A39" s="2" t="s">
        <v>317</v>
      </c>
      <c r="B39" s="2" t="s">
        <v>289</v>
      </c>
      <c r="C39" s="2">
        <v>2.1800000000000002</v>
      </c>
      <c r="F39" s="2" t="s">
        <v>297</v>
      </c>
      <c r="G39" s="2" t="s">
        <v>300</v>
      </c>
      <c r="I39" s="2" t="s">
        <v>303</v>
      </c>
      <c r="J39" s="2" t="s">
        <v>27</v>
      </c>
      <c r="K39" s="2" t="s">
        <v>309</v>
      </c>
    </row>
    <row r="40" spans="1:13">
      <c r="A40" s="2" t="s">
        <v>318</v>
      </c>
      <c r="B40" s="2" t="s">
        <v>290</v>
      </c>
      <c r="C40" s="2">
        <v>2.19</v>
      </c>
      <c r="F40" s="2" t="s">
        <v>298</v>
      </c>
      <c r="G40" s="2" t="s">
        <v>301</v>
      </c>
      <c r="I40" s="2" t="s">
        <v>304</v>
      </c>
      <c r="J40" s="2" t="s">
        <v>21</v>
      </c>
      <c r="K40" s="2" t="s">
        <v>310</v>
      </c>
    </row>
    <row r="41" spans="1:13">
      <c r="A41" s="2" t="s">
        <v>472</v>
      </c>
      <c r="B41" s="2" t="s">
        <v>291</v>
      </c>
      <c r="C41" s="2">
        <v>1.28</v>
      </c>
      <c r="F41" s="2" t="s">
        <v>299</v>
      </c>
      <c r="I41" s="2" t="s">
        <v>305</v>
      </c>
      <c r="K41" s="2" t="s">
        <v>315</v>
      </c>
      <c r="L41" s="2" t="s">
        <v>311</v>
      </c>
      <c r="M41" s="2" t="s">
        <v>544</v>
      </c>
    </row>
    <row r="42" spans="1:13">
      <c r="A42" s="2" t="s">
        <v>473</v>
      </c>
      <c r="B42" s="2" t="s">
        <v>292</v>
      </c>
      <c r="C42" s="2">
        <v>1.29</v>
      </c>
      <c r="F42" s="2" t="s">
        <v>262</v>
      </c>
      <c r="I42" s="2" t="s">
        <v>306</v>
      </c>
      <c r="K42" s="2" t="s">
        <v>316</v>
      </c>
      <c r="L42" s="2" t="s">
        <v>312</v>
      </c>
      <c r="M42" s="2" t="s">
        <v>543</v>
      </c>
    </row>
    <row r="43" spans="1:13">
      <c r="A43" s="2" t="s">
        <v>474</v>
      </c>
      <c r="B43" s="2" t="s">
        <v>293</v>
      </c>
      <c r="C43" s="2" t="s">
        <v>498</v>
      </c>
      <c r="K43" s="2" t="s">
        <v>314</v>
      </c>
      <c r="L43" s="2" t="s">
        <v>476</v>
      </c>
      <c r="M43" s="30" t="s">
        <v>547</v>
      </c>
    </row>
    <row r="44" spans="1:13">
      <c r="A44" s="2" t="s">
        <v>475</v>
      </c>
      <c r="B44" s="2" t="s">
        <v>294</v>
      </c>
      <c r="C44" s="2">
        <v>1.21</v>
      </c>
      <c r="G44" s="2" t="s">
        <v>302</v>
      </c>
      <c r="K44" s="2" t="s">
        <v>313</v>
      </c>
      <c r="L44" s="2" t="s">
        <v>477</v>
      </c>
      <c r="M44" s="30" t="s">
        <v>550</v>
      </c>
    </row>
    <row r="45" spans="1:13">
      <c r="A45" s="4" t="s">
        <v>354</v>
      </c>
    </row>
    <row r="46" spans="1:13">
      <c r="A46" s="2" t="s">
        <v>347</v>
      </c>
      <c r="B46" s="2" t="s">
        <v>222</v>
      </c>
      <c r="C46" s="2" t="s">
        <v>570</v>
      </c>
      <c r="D46" s="2" t="s">
        <v>249</v>
      </c>
      <c r="F46" s="2" t="s">
        <v>263</v>
      </c>
      <c r="G46" s="2" t="s">
        <v>235</v>
      </c>
      <c r="J46" s="2" t="s">
        <v>40</v>
      </c>
      <c r="M46" s="2" t="s">
        <v>213</v>
      </c>
    </row>
    <row r="47" spans="1:13">
      <c r="A47" s="2" t="s">
        <v>348</v>
      </c>
      <c r="B47" s="2" t="s">
        <v>221</v>
      </c>
      <c r="C47" s="2" t="s">
        <v>227</v>
      </c>
      <c r="D47" s="2" t="s">
        <v>250</v>
      </c>
      <c r="F47" s="2" t="s">
        <v>264</v>
      </c>
      <c r="G47" s="2" t="s">
        <v>234</v>
      </c>
      <c r="J47" s="2" t="s">
        <v>33</v>
      </c>
      <c r="M47" s="2" t="s">
        <v>214</v>
      </c>
    </row>
    <row r="48" spans="1:13">
      <c r="A48" s="2" t="s">
        <v>349</v>
      </c>
      <c r="B48" s="2" t="s">
        <v>220</v>
      </c>
      <c r="C48" s="2" t="s">
        <v>226</v>
      </c>
      <c r="E48" s="2" t="s">
        <v>281</v>
      </c>
      <c r="F48" s="2" t="s">
        <v>265</v>
      </c>
      <c r="G48" s="2" t="s">
        <v>183</v>
      </c>
      <c r="J48" s="2" t="s">
        <v>230</v>
      </c>
      <c r="M48" s="2" t="s">
        <v>215</v>
      </c>
    </row>
    <row r="49" spans="1:13">
      <c r="A49" s="2" t="s">
        <v>350</v>
      </c>
      <c r="B49" s="2" t="s">
        <v>219</v>
      </c>
      <c r="C49" s="2" t="s">
        <v>225</v>
      </c>
      <c r="E49" s="2" t="s">
        <v>282</v>
      </c>
      <c r="F49" s="2" t="s">
        <v>266</v>
      </c>
      <c r="G49" s="2" t="s">
        <v>185</v>
      </c>
      <c r="J49" s="2" t="s">
        <v>231</v>
      </c>
      <c r="M49" s="2" t="s">
        <v>216</v>
      </c>
    </row>
    <row r="50" spans="1:13">
      <c r="A50" s="2" t="s">
        <v>351</v>
      </c>
      <c r="B50" s="2" t="s">
        <v>224</v>
      </c>
      <c r="C50" s="2" t="s">
        <v>229</v>
      </c>
      <c r="D50" s="2" t="s">
        <v>248</v>
      </c>
      <c r="F50" s="2" t="s">
        <v>374</v>
      </c>
      <c r="G50" s="2" t="s">
        <v>237</v>
      </c>
      <c r="J50" s="2" t="s">
        <v>52</v>
      </c>
      <c r="M50" s="2" t="s">
        <v>217</v>
      </c>
    </row>
    <row r="51" spans="1:13">
      <c r="A51" s="2" t="s">
        <v>352</v>
      </c>
      <c r="B51" s="2" t="s">
        <v>223</v>
      </c>
      <c r="C51" s="2" t="s">
        <v>228</v>
      </c>
      <c r="D51" s="2" t="s">
        <v>247</v>
      </c>
      <c r="F51" s="2" t="s">
        <v>375</v>
      </c>
      <c r="G51" s="2" t="s">
        <v>236</v>
      </c>
      <c r="J51" s="2" t="s">
        <v>47</v>
      </c>
      <c r="M51" s="2" t="s">
        <v>218</v>
      </c>
    </row>
    <row r="52" spans="1:13">
      <c r="A52" s="4" t="s">
        <v>319</v>
      </c>
    </row>
    <row r="53" spans="1:13">
      <c r="A53" s="2" t="s">
        <v>353</v>
      </c>
      <c r="B53" s="2" t="s">
        <v>181</v>
      </c>
      <c r="C53" s="2" t="s">
        <v>327</v>
      </c>
      <c r="D53" s="2" t="s">
        <v>333</v>
      </c>
      <c r="F53" s="2" t="s">
        <v>368</v>
      </c>
      <c r="G53" s="2" t="s">
        <v>183</v>
      </c>
    </row>
    <row r="54" spans="1:13">
      <c r="A54" s="2" t="s">
        <v>355</v>
      </c>
      <c r="B54" s="2" t="s">
        <v>323</v>
      </c>
      <c r="C54" s="2" t="s">
        <v>330</v>
      </c>
      <c r="D54" s="2" t="s">
        <v>335</v>
      </c>
      <c r="F54" s="2" t="s">
        <v>371</v>
      </c>
      <c r="G54" s="2" t="s">
        <v>236</v>
      </c>
      <c r="K54" s="2" t="s">
        <v>340</v>
      </c>
    </row>
    <row r="55" spans="1:13">
      <c r="A55" s="2" t="s">
        <v>356</v>
      </c>
      <c r="B55" s="2" t="s">
        <v>324</v>
      </c>
      <c r="C55" s="2" t="s">
        <v>331</v>
      </c>
      <c r="D55" s="2" t="s">
        <v>334</v>
      </c>
      <c r="F55" s="2" t="s">
        <v>372</v>
      </c>
      <c r="G55" s="2" t="s">
        <v>237</v>
      </c>
      <c r="K55" s="2" t="s">
        <v>341</v>
      </c>
    </row>
    <row r="56" spans="1:13">
      <c r="A56" s="2" t="s">
        <v>357</v>
      </c>
      <c r="B56" s="2" t="s">
        <v>320</v>
      </c>
      <c r="C56" s="2" t="s">
        <v>326</v>
      </c>
      <c r="E56" s="2" t="s">
        <v>282</v>
      </c>
      <c r="F56" s="2" t="s">
        <v>367</v>
      </c>
      <c r="G56" s="2" t="s">
        <v>345</v>
      </c>
    </row>
    <row r="57" spans="1:13">
      <c r="A57" s="2" t="s">
        <v>358</v>
      </c>
      <c r="B57" s="2" t="s">
        <v>322</v>
      </c>
      <c r="C57" s="2" t="s">
        <v>329</v>
      </c>
      <c r="D57" s="2" t="s">
        <v>337</v>
      </c>
      <c r="F57" s="2" t="s">
        <v>370</v>
      </c>
      <c r="G57" s="2" t="s">
        <v>235</v>
      </c>
      <c r="K57" s="2" t="s">
        <v>339</v>
      </c>
    </row>
    <row r="58" spans="1:13">
      <c r="A58" s="2" t="s">
        <v>359</v>
      </c>
      <c r="B58" s="2" t="s">
        <v>321</v>
      </c>
      <c r="C58" s="2" t="s">
        <v>328</v>
      </c>
      <c r="D58" s="2" t="s">
        <v>336</v>
      </c>
      <c r="F58" s="2" t="s">
        <v>369</v>
      </c>
      <c r="G58" s="2" t="s">
        <v>234</v>
      </c>
    </row>
    <row r="59" spans="1:13">
      <c r="A59" s="2" t="s">
        <v>360</v>
      </c>
      <c r="B59" s="2" t="s">
        <v>325</v>
      </c>
      <c r="C59" s="2" t="s">
        <v>332</v>
      </c>
      <c r="D59" s="2" t="s">
        <v>338</v>
      </c>
      <c r="F59" s="2" t="s">
        <v>373</v>
      </c>
      <c r="G59" s="2" t="s">
        <v>343</v>
      </c>
      <c r="K59" s="2" t="s">
        <v>342</v>
      </c>
    </row>
  </sheetData>
  <phoneticPr fontId="6" type="noConversion"/>
  <pageMargins left="0.7" right="0.7" top="0.75" bottom="0.75" header="0.3" footer="0.3"/>
  <pageSetup scale="69" fitToHeight="0" orientation="landscape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A3BF-4836-4E18-902A-73F96A8CFB1A}">
  <sheetPr>
    <pageSetUpPr fitToPage="1"/>
  </sheetPr>
  <dimension ref="A1:L115"/>
  <sheetViews>
    <sheetView workbookViewId="0">
      <selection activeCell="B2" sqref="B2"/>
    </sheetView>
  </sheetViews>
  <sheetFormatPr defaultRowHeight="15"/>
  <cols>
    <col min="1" max="2" width="11" style="2" customWidth="1"/>
    <col min="3" max="3" width="18.5703125" style="2" customWidth="1"/>
    <col min="4" max="4" width="21.7109375" style="2" customWidth="1"/>
    <col min="5" max="6" width="23.85546875" style="2" customWidth="1"/>
    <col min="7" max="7" width="23.28515625" style="2" bestFit="1" customWidth="1"/>
    <col min="8" max="8" width="12.5703125" style="2" customWidth="1"/>
    <col min="9" max="9" width="23.28515625" style="2" bestFit="1" customWidth="1"/>
    <col min="10" max="10" width="15" style="2" bestFit="1" customWidth="1"/>
    <col min="11" max="11" width="24.28515625" style="2" bestFit="1" customWidth="1"/>
    <col min="12" max="12" width="17.28515625" style="2" customWidth="1"/>
  </cols>
  <sheetData>
    <row r="1" spans="1:12">
      <c r="A1" s="2" t="s">
        <v>1</v>
      </c>
      <c r="B1" s="2" t="s">
        <v>2</v>
      </c>
      <c r="C1" s="2" t="s">
        <v>626</v>
      </c>
      <c r="D1" s="2" t="s">
        <v>627</v>
      </c>
      <c r="E1" s="2" t="s">
        <v>628</v>
      </c>
      <c r="F1" s="2" t="s">
        <v>629</v>
      </c>
      <c r="G1" s="2" t="s">
        <v>630</v>
      </c>
      <c r="H1" s="2" t="s">
        <v>631</v>
      </c>
      <c r="I1" s="2" t="s">
        <v>632</v>
      </c>
      <c r="J1" s="2" t="s">
        <v>633</v>
      </c>
      <c r="K1" s="2" t="s">
        <v>634</v>
      </c>
      <c r="L1" s="2" t="s">
        <v>635</v>
      </c>
    </row>
    <row r="2" spans="1:12">
      <c r="A2" s="2" t="s">
        <v>16</v>
      </c>
      <c r="B2" s="2" t="s">
        <v>17</v>
      </c>
      <c r="C2" s="173" t="s">
        <v>636</v>
      </c>
      <c r="D2" s="172" t="s">
        <v>639</v>
      </c>
      <c r="E2" s="167" t="s">
        <v>638</v>
      </c>
      <c r="F2" s="2" t="s">
        <v>640</v>
      </c>
      <c r="G2" s="166" t="s">
        <v>641</v>
      </c>
      <c r="H2" s="168" t="s">
        <v>642</v>
      </c>
      <c r="I2" s="2" t="s">
        <v>643</v>
      </c>
      <c r="J2" s="169" t="s">
        <v>644</v>
      </c>
    </row>
    <row r="3" spans="1:12">
      <c r="A3" s="2" t="s">
        <v>22</v>
      </c>
      <c r="B3" s="2" t="s">
        <v>23</v>
      </c>
      <c r="C3" s="173" t="s">
        <v>637</v>
      </c>
      <c r="D3" s="172" t="s">
        <v>645</v>
      </c>
      <c r="E3" s="167" t="s">
        <v>646</v>
      </c>
      <c r="F3" s="2" t="s">
        <v>647</v>
      </c>
      <c r="G3" s="166" t="s">
        <v>648</v>
      </c>
      <c r="H3" s="168" t="s">
        <v>649</v>
      </c>
      <c r="I3" s="2" t="s">
        <v>650</v>
      </c>
      <c r="J3" s="169" t="s">
        <v>651</v>
      </c>
    </row>
    <row r="4" spans="1:12">
      <c r="A4" s="2" t="s">
        <v>28</v>
      </c>
      <c r="B4" s="2" t="s">
        <v>29</v>
      </c>
      <c r="C4" s="2" t="s">
        <v>890</v>
      </c>
      <c r="D4" s="166" t="s">
        <v>891</v>
      </c>
      <c r="E4" s="174" t="s">
        <v>892</v>
      </c>
      <c r="F4" s="172" t="s">
        <v>893</v>
      </c>
      <c r="G4" s="165" t="s">
        <v>894</v>
      </c>
      <c r="H4" s="168" t="s">
        <v>895</v>
      </c>
    </row>
    <row r="5" spans="1:12">
      <c r="A5" s="2" t="s">
        <v>35</v>
      </c>
      <c r="B5" s="2" t="s">
        <v>36</v>
      </c>
      <c r="C5" s="2" t="s">
        <v>896</v>
      </c>
      <c r="D5" s="166" t="s">
        <v>1297</v>
      </c>
      <c r="E5" s="174" t="s">
        <v>901</v>
      </c>
      <c r="F5" s="172" t="s">
        <v>897</v>
      </c>
      <c r="G5" s="165" t="s">
        <v>898</v>
      </c>
      <c r="H5" s="168" t="s">
        <v>899</v>
      </c>
    </row>
    <row r="6" spans="1:12">
      <c r="A6" s="2" t="s">
        <v>42</v>
      </c>
      <c r="B6" s="2" t="s">
        <v>43</v>
      </c>
      <c r="C6" s="2" t="s">
        <v>902</v>
      </c>
      <c r="D6" s="166" t="s">
        <v>906</v>
      </c>
      <c r="E6" s="174" t="s">
        <v>905</v>
      </c>
      <c r="F6" s="172" t="s">
        <v>904</v>
      </c>
      <c r="G6" s="165" t="s">
        <v>903</v>
      </c>
      <c r="H6" s="168" t="s">
        <v>910</v>
      </c>
    </row>
    <row r="7" spans="1:12">
      <c r="A7" s="2">
        <v>5</v>
      </c>
      <c r="B7" s="2" t="s">
        <v>193</v>
      </c>
      <c r="C7" s="2" t="s">
        <v>914</v>
      </c>
      <c r="D7" s="166" t="s">
        <v>915</v>
      </c>
      <c r="E7" s="174" t="s">
        <v>916</v>
      </c>
      <c r="F7" s="172" t="s">
        <v>639</v>
      </c>
      <c r="G7" s="165" t="s">
        <v>917</v>
      </c>
      <c r="H7" s="168" t="s">
        <v>918</v>
      </c>
    </row>
    <row r="8" spans="1:12">
      <c r="A8" s="2">
        <v>6</v>
      </c>
      <c r="B8" s="2" t="s">
        <v>64</v>
      </c>
      <c r="C8" s="2" t="s">
        <v>824</v>
      </c>
      <c r="D8" s="2" t="s">
        <v>825</v>
      </c>
      <c r="E8" s="166" t="s">
        <v>826</v>
      </c>
      <c r="F8" s="174" t="s">
        <v>827</v>
      </c>
      <c r="G8" s="165" t="s">
        <v>828</v>
      </c>
      <c r="H8" s="168" t="s">
        <v>829</v>
      </c>
      <c r="I8" s="2" t="s">
        <v>830</v>
      </c>
      <c r="K8" s="2" t="s">
        <v>831</v>
      </c>
    </row>
    <row r="9" spans="1:12">
      <c r="A9" s="2">
        <v>7</v>
      </c>
      <c r="B9" s="2" t="s">
        <v>54</v>
      </c>
      <c r="C9" s="2" t="s">
        <v>856</v>
      </c>
      <c r="D9" s="172" t="s">
        <v>857</v>
      </c>
      <c r="E9" s="167" t="s">
        <v>858</v>
      </c>
      <c r="F9" s="174" t="s">
        <v>775</v>
      </c>
      <c r="G9" s="165" t="s">
        <v>859</v>
      </c>
      <c r="H9" s="168" t="s">
        <v>860</v>
      </c>
      <c r="I9" s="166" t="s">
        <v>861</v>
      </c>
      <c r="K9" s="2" t="s">
        <v>862</v>
      </c>
      <c r="L9" s="165" t="s">
        <v>863</v>
      </c>
    </row>
    <row r="10" spans="1:12">
      <c r="A10" s="2">
        <v>8</v>
      </c>
      <c r="B10" s="2" t="s">
        <v>59</v>
      </c>
      <c r="C10" s="2" t="s">
        <v>848</v>
      </c>
      <c r="D10" s="172" t="s">
        <v>849</v>
      </c>
      <c r="E10" s="167" t="s">
        <v>850</v>
      </c>
      <c r="F10" s="174" t="s">
        <v>766</v>
      </c>
      <c r="G10" s="165" t="s">
        <v>851</v>
      </c>
      <c r="H10" s="168" t="s">
        <v>852</v>
      </c>
      <c r="I10" s="166" t="s">
        <v>853</v>
      </c>
      <c r="K10" s="2" t="s">
        <v>854</v>
      </c>
      <c r="L10" s="165" t="s">
        <v>855</v>
      </c>
    </row>
    <row r="11" spans="1:12">
      <c r="A11" s="2" t="s">
        <v>68</v>
      </c>
      <c r="B11" s="2" t="s">
        <v>69</v>
      </c>
      <c r="C11" s="2" t="s">
        <v>834</v>
      </c>
      <c r="D11" s="2" t="s">
        <v>835</v>
      </c>
      <c r="E11" s="166" t="s">
        <v>836</v>
      </c>
      <c r="F11" s="174" t="s">
        <v>837</v>
      </c>
      <c r="G11" s="165" t="s">
        <v>832</v>
      </c>
      <c r="H11" s="168" t="s">
        <v>833</v>
      </c>
      <c r="I11" s="2" t="s">
        <v>838</v>
      </c>
      <c r="K11" s="2" t="s">
        <v>839</v>
      </c>
    </row>
    <row r="12" spans="1:12">
      <c r="A12" s="2" t="s">
        <v>73</v>
      </c>
      <c r="B12" s="2" t="s">
        <v>74</v>
      </c>
      <c r="C12" s="2" t="s">
        <v>606</v>
      </c>
      <c r="D12" s="166" t="s">
        <v>802</v>
      </c>
      <c r="E12" s="174" t="s">
        <v>77</v>
      </c>
      <c r="F12" s="169" t="s">
        <v>803</v>
      </c>
      <c r="G12" s="165" t="s">
        <v>804</v>
      </c>
      <c r="H12" s="168" t="s">
        <v>805</v>
      </c>
      <c r="I12" s="2" t="s">
        <v>806</v>
      </c>
      <c r="K12" s="2" t="s">
        <v>807</v>
      </c>
    </row>
    <row r="13" spans="1:12">
      <c r="A13" s="2" t="s">
        <v>79</v>
      </c>
      <c r="B13" s="2" t="s">
        <v>80</v>
      </c>
      <c r="C13" s="2" t="s">
        <v>608</v>
      </c>
      <c r="D13" s="166" t="s">
        <v>814</v>
      </c>
      <c r="E13" s="173" t="s">
        <v>733</v>
      </c>
      <c r="F13" s="169" t="s">
        <v>815</v>
      </c>
      <c r="G13" s="165" t="s">
        <v>816</v>
      </c>
      <c r="H13" s="168" t="s">
        <v>817</v>
      </c>
      <c r="I13" s="2" t="s">
        <v>818</v>
      </c>
      <c r="K13" s="2" t="s">
        <v>679</v>
      </c>
    </row>
    <row r="14" spans="1:12">
      <c r="A14" s="2" t="s">
        <v>85</v>
      </c>
      <c r="B14" s="2" t="s">
        <v>86</v>
      </c>
      <c r="C14" s="2" t="s">
        <v>607</v>
      </c>
      <c r="D14" s="166" t="s">
        <v>808</v>
      </c>
      <c r="E14" s="174" t="s">
        <v>89</v>
      </c>
      <c r="F14" s="169" t="s">
        <v>809</v>
      </c>
      <c r="G14" s="165" t="s">
        <v>810</v>
      </c>
      <c r="H14" s="168" t="s">
        <v>811</v>
      </c>
      <c r="I14" s="2" t="s">
        <v>812</v>
      </c>
      <c r="K14" s="2" t="s">
        <v>813</v>
      </c>
    </row>
    <row r="15" spans="1:12">
      <c r="A15" s="2" t="s">
        <v>91</v>
      </c>
      <c r="B15" s="2" t="s">
        <v>92</v>
      </c>
      <c r="C15" s="2" t="s">
        <v>609</v>
      </c>
      <c r="D15" s="166" t="s">
        <v>819</v>
      </c>
      <c r="E15" s="173" t="s">
        <v>740</v>
      </c>
      <c r="F15" s="169" t="s">
        <v>820</v>
      </c>
      <c r="G15" s="165" t="s">
        <v>821</v>
      </c>
      <c r="H15" s="168" t="s">
        <v>822</v>
      </c>
      <c r="I15" s="2" t="s">
        <v>823</v>
      </c>
      <c r="K15" s="2" t="s">
        <v>682</v>
      </c>
    </row>
    <row r="16" spans="1:12">
      <c r="A16" s="2" t="s">
        <v>97</v>
      </c>
      <c r="B16" s="2" t="s">
        <v>98</v>
      </c>
      <c r="C16" s="2" t="s">
        <v>684</v>
      </c>
      <c r="D16" s="166" t="s">
        <v>685</v>
      </c>
      <c r="E16" s="167" t="s">
        <v>686</v>
      </c>
      <c r="F16" s="174" t="s">
        <v>101</v>
      </c>
      <c r="G16" s="2" t="s">
        <v>687</v>
      </c>
      <c r="H16" s="168" t="s">
        <v>688</v>
      </c>
      <c r="I16" s="187" t="s">
        <v>689</v>
      </c>
      <c r="J16" s="2" t="s">
        <v>690</v>
      </c>
      <c r="K16" s="2" t="s">
        <v>691</v>
      </c>
      <c r="L16" s="165" t="s">
        <v>692</v>
      </c>
    </row>
    <row r="17" spans="1:12">
      <c r="A17" s="2" t="s">
        <v>103</v>
      </c>
      <c r="B17" s="2" t="s">
        <v>104</v>
      </c>
      <c r="C17" s="2" t="s">
        <v>640</v>
      </c>
      <c r="D17" s="166" t="s">
        <v>693</v>
      </c>
      <c r="E17" s="167" t="s">
        <v>694</v>
      </c>
      <c r="F17" s="174" t="s">
        <v>107</v>
      </c>
      <c r="G17" s="2" t="s">
        <v>695</v>
      </c>
      <c r="H17" s="168" t="s">
        <v>696</v>
      </c>
      <c r="I17" s="2" t="s">
        <v>697</v>
      </c>
      <c r="J17" s="2" t="s">
        <v>698</v>
      </c>
      <c r="K17" s="2" t="s">
        <v>699</v>
      </c>
      <c r="L17" s="165" t="s">
        <v>700</v>
      </c>
    </row>
    <row r="18" spans="1:12">
      <c r="A18" s="2" t="s">
        <v>109</v>
      </c>
      <c r="B18" s="2" t="s">
        <v>110</v>
      </c>
      <c r="C18" s="2" t="s">
        <v>723</v>
      </c>
      <c r="D18" s="170" t="s">
        <v>724</v>
      </c>
      <c r="E18" s="167" t="s">
        <v>725</v>
      </c>
      <c r="F18" s="2" t="s">
        <v>726</v>
      </c>
      <c r="G18" s="171" t="s">
        <v>549</v>
      </c>
      <c r="H18" s="168" t="s">
        <v>727</v>
      </c>
      <c r="I18" s="194" t="s">
        <v>364</v>
      </c>
      <c r="J18" s="2" t="s">
        <v>728</v>
      </c>
      <c r="K18" s="2" t="s">
        <v>729</v>
      </c>
      <c r="L18" s="165" t="s">
        <v>730</v>
      </c>
    </row>
    <row r="19" spans="1:12">
      <c r="A19" s="2" t="s">
        <v>114</v>
      </c>
      <c r="B19" s="2" t="s">
        <v>115</v>
      </c>
      <c r="C19" s="2" t="s">
        <v>716</v>
      </c>
      <c r="D19" s="170" t="s">
        <v>717</v>
      </c>
      <c r="E19" s="167" t="s">
        <v>718</v>
      </c>
      <c r="F19" s="2" t="s">
        <v>117</v>
      </c>
      <c r="G19" s="171" t="s">
        <v>548</v>
      </c>
      <c r="H19" s="168" t="s">
        <v>719</v>
      </c>
      <c r="I19" s="194" t="s">
        <v>363</v>
      </c>
      <c r="J19" s="2" t="s">
        <v>720</v>
      </c>
      <c r="K19" s="2" t="s">
        <v>721</v>
      </c>
      <c r="L19" s="165" t="s">
        <v>722</v>
      </c>
    </row>
    <row r="20" spans="1:12">
      <c r="A20" s="2" t="s">
        <v>119</v>
      </c>
      <c r="B20" s="2" t="s">
        <v>120</v>
      </c>
      <c r="C20" s="2" t="s">
        <v>647</v>
      </c>
      <c r="D20" s="166" t="s">
        <v>672</v>
      </c>
      <c r="E20" s="167" t="s">
        <v>673</v>
      </c>
      <c r="F20" s="170" t="s">
        <v>674</v>
      </c>
      <c r="G20" s="2" t="s">
        <v>653</v>
      </c>
      <c r="H20" s="168" t="s">
        <v>675</v>
      </c>
      <c r="I20" s="187" t="s">
        <v>676</v>
      </c>
      <c r="J20" s="2" t="s">
        <v>681</v>
      </c>
      <c r="K20" s="2" t="s">
        <v>682</v>
      </c>
      <c r="L20" s="165" t="s">
        <v>683</v>
      </c>
    </row>
    <row r="21" spans="1:12">
      <c r="A21" s="2" t="s">
        <v>124</v>
      </c>
      <c r="B21" s="2" t="s">
        <v>125</v>
      </c>
      <c r="C21" s="2" t="s">
        <v>666</v>
      </c>
      <c r="D21" s="166" t="s">
        <v>667</v>
      </c>
      <c r="E21" s="167" t="s">
        <v>668</v>
      </c>
      <c r="F21" s="170" t="s">
        <v>669</v>
      </c>
      <c r="G21" s="2" t="s">
        <v>670</v>
      </c>
      <c r="H21" s="168" t="s">
        <v>671</v>
      </c>
      <c r="I21" s="187" t="s">
        <v>677</v>
      </c>
      <c r="J21" s="2" t="s">
        <v>678</v>
      </c>
      <c r="K21" s="2" t="s">
        <v>679</v>
      </c>
      <c r="L21" s="165" t="s">
        <v>680</v>
      </c>
    </row>
    <row r="22" spans="1:12">
      <c r="A22" s="2" t="s">
        <v>129</v>
      </c>
      <c r="B22" s="2" t="s">
        <v>130</v>
      </c>
      <c r="C22" s="2" t="s">
        <v>746</v>
      </c>
      <c r="D22" s="2" t="s">
        <v>670</v>
      </c>
      <c r="E22" s="167" t="s">
        <v>747</v>
      </c>
      <c r="F22" s="174" t="s">
        <v>748</v>
      </c>
      <c r="G22" s="171" t="s">
        <v>749</v>
      </c>
      <c r="H22" s="168" t="s">
        <v>750</v>
      </c>
      <c r="I22" s="2" t="s">
        <v>751</v>
      </c>
      <c r="J22" s="2" t="s">
        <v>752</v>
      </c>
      <c r="K22" s="2" t="s">
        <v>753</v>
      </c>
      <c r="L22" s="165" t="s">
        <v>754</v>
      </c>
    </row>
    <row r="23" spans="1:12">
      <c r="A23" s="2" t="s">
        <v>134</v>
      </c>
      <c r="B23" s="2" t="s">
        <v>135</v>
      </c>
      <c r="C23" s="2" t="s">
        <v>755</v>
      </c>
      <c r="D23" s="2" t="s">
        <v>662</v>
      </c>
      <c r="E23" s="167" t="s">
        <v>756</v>
      </c>
      <c r="F23" s="174" t="s">
        <v>757</v>
      </c>
      <c r="G23" s="171" t="s">
        <v>758</v>
      </c>
      <c r="H23" s="168" t="s">
        <v>759</v>
      </c>
      <c r="I23" s="2" t="s">
        <v>760</v>
      </c>
      <c r="J23" s="2" t="s">
        <v>761</v>
      </c>
      <c r="K23" s="2" t="s">
        <v>762</v>
      </c>
      <c r="L23" s="165" t="s">
        <v>763</v>
      </c>
    </row>
    <row r="24" spans="1:12">
      <c r="A24" s="2" t="s">
        <v>139</v>
      </c>
      <c r="B24" s="2" t="s">
        <v>140</v>
      </c>
      <c r="C24" s="2" t="s">
        <v>731</v>
      </c>
      <c r="D24" s="166" t="s">
        <v>732</v>
      </c>
      <c r="E24" s="173" t="s">
        <v>733</v>
      </c>
      <c r="F24" s="2" t="s">
        <v>653</v>
      </c>
      <c r="G24" s="171" t="s">
        <v>734</v>
      </c>
      <c r="H24" s="168" t="s">
        <v>735</v>
      </c>
      <c r="I24" s="194" t="s">
        <v>365</v>
      </c>
      <c r="J24" s="2" t="s">
        <v>736</v>
      </c>
      <c r="L24" s="165" t="s">
        <v>737</v>
      </c>
    </row>
    <row r="25" spans="1:12">
      <c r="A25" s="2" t="s">
        <v>144</v>
      </c>
      <c r="B25" s="2" t="s">
        <v>145</v>
      </c>
      <c r="C25" s="2" t="s">
        <v>738</v>
      </c>
      <c r="D25" s="166" t="s">
        <v>739</v>
      </c>
      <c r="E25" s="173" t="s">
        <v>740</v>
      </c>
      <c r="F25" s="174" t="s">
        <v>741</v>
      </c>
      <c r="G25" s="171" t="s">
        <v>742</v>
      </c>
      <c r="H25" s="168" t="s">
        <v>743</v>
      </c>
      <c r="I25" s="194" t="s">
        <v>366</v>
      </c>
      <c r="J25" s="2" t="s">
        <v>744</v>
      </c>
      <c r="L25" s="165" t="s">
        <v>745</v>
      </c>
    </row>
    <row r="26" spans="1:12">
      <c r="A26" s="2" t="s">
        <v>151</v>
      </c>
      <c r="B26" s="2" t="s">
        <v>152</v>
      </c>
      <c r="C26" s="170" t="s">
        <v>652</v>
      </c>
      <c r="D26" s="2" t="s">
        <v>653</v>
      </c>
      <c r="E26" s="167" t="s">
        <v>654</v>
      </c>
      <c r="F26" s="2" t="s">
        <v>655</v>
      </c>
      <c r="G26" s="166" t="s">
        <v>656</v>
      </c>
      <c r="H26" s="168" t="s">
        <v>657</v>
      </c>
      <c r="I26" s="2" t="s">
        <v>658</v>
      </c>
      <c r="J26" s="2" t="s">
        <v>659</v>
      </c>
    </row>
    <row r="27" spans="1:12">
      <c r="A27" s="2" t="s">
        <v>156</v>
      </c>
      <c r="B27" s="2" t="s">
        <v>157</v>
      </c>
      <c r="C27" s="170" t="s">
        <v>660</v>
      </c>
      <c r="D27" s="2" t="s">
        <v>160</v>
      </c>
      <c r="E27" s="167" t="s">
        <v>661</v>
      </c>
      <c r="F27" s="2" t="s">
        <v>662</v>
      </c>
      <c r="G27" s="166" t="s">
        <v>663</v>
      </c>
      <c r="H27" s="168" t="s">
        <v>664</v>
      </c>
      <c r="I27" s="2" t="s">
        <v>665</v>
      </c>
      <c r="J27" s="2" t="s">
        <v>643</v>
      </c>
    </row>
    <row r="28" spans="1:12">
      <c r="A28" s="2" t="s">
        <v>162</v>
      </c>
      <c r="B28" s="2" t="s">
        <v>163</v>
      </c>
      <c r="C28" s="2" t="s">
        <v>782</v>
      </c>
      <c r="D28" s="2" t="s">
        <v>783</v>
      </c>
      <c r="E28" s="169" t="s">
        <v>784</v>
      </c>
      <c r="F28" s="2" t="s">
        <v>785</v>
      </c>
      <c r="G28" s="171" t="s">
        <v>786</v>
      </c>
      <c r="H28" s="168" t="s">
        <v>787</v>
      </c>
      <c r="I28" s="2" t="s">
        <v>788</v>
      </c>
      <c r="J28" s="2" t="s">
        <v>789</v>
      </c>
      <c r="K28" s="2" t="s">
        <v>790</v>
      </c>
      <c r="L28" s="165" t="s">
        <v>791</v>
      </c>
    </row>
    <row r="29" spans="1:12">
      <c r="A29" s="2" t="s">
        <v>167</v>
      </c>
      <c r="B29" s="2" t="s">
        <v>168</v>
      </c>
      <c r="C29" s="2" t="s">
        <v>792</v>
      </c>
      <c r="D29" s="2" t="s">
        <v>793</v>
      </c>
      <c r="E29" s="169" t="s">
        <v>794</v>
      </c>
      <c r="F29" s="2" t="s">
        <v>795</v>
      </c>
      <c r="G29" s="171" t="s">
        <v>796</v>
      </c>
      <c r="H29" s="168" t="s">
        <v>797</v>
      </c>
      <c r="I29" s="2" t="s">
        <v>798</v>
      </c>
      <c r="J29" s="2" t="s">
        <v>799</v>
      </c>
      <c r="K29" s="2" t="s">
        <v>800</v>
      </c>
      <c r="L29" s="165" t="s">
        <v>801</v>
      </c>
    </row>
    <row r="30" spans="1:12">
      <c r="A30" s="2" t="s">
        <v>172</v>
      </c>
      <c r="B30" s="2" t="s">
        <v>173</v>
      </c>
      <c r="C30" s="2" t="s">
        <v>968</v>
      </c>
      <c r="D30" s="166" t="s">
        <v>969</v>
      </c>
      <c r="E30" s="167" t="s">
        <v>970</v>
      </c>
      <c r="F30" s="2" t="s">
        <v>971</v>
      </c>
      <c r="G30" s="2" t="s">
        <v>972</v>
      </c>
      <c r="H30" s="168" t="s">
        <v>973</v>
      </c>
      <c r="K30" s="2" t="s">
        <v>974</v>
      </c>
    </row>
    <row r="31" spans="1:12">
      <c r="A31" s="2" t="s">
        <v>176</v>
      </c>
      <c r="B31" s="2" t="s">
        <v>177</v>
      </c>
      <c r="C31" s="2" t="s">
        <v>961</v>
      </c>
      <c r="D31" s="166" t="s">
        <v>962</v>
      </c>
      <c r="E31" s="167" t="s">
        <v>963</v>
      </c>
      <c r="F31" s="2" t="s">
        <v>964</v>
      </c>
      <c r="G31" s="2" t="s">
        <v>965</v>
      </c>
      <c r="H31" s="168" t="s">
        <v>966</v>
      </c>
      <c r="K31" s="2" t="s">
        <v>967</v>
      </c>
    </row>
    <row r="32" spans="1:12">
      <c r="A32" s="2" t="s">
        <v>180</v>
      </c>
      <c r="B32" s="2" t="s">
        <v>198</v>
      </c>
      <c r="C32" s="2" t="s">
        <v>982</v>
      </c>
      <c r="D32" s="172" t="s">
        <v>983</v>
      </c>
      <c r="E32" s="2" t="s">
        <v>984</v>
      </c>
      <c r="F32" s="2" t="s">
        <v>985</v>
      </c>
      <c r="G32" s="2" t="s">
        <v>986</v>
      </c>
      <c r="H32" s="168" t="s">
        <v>987</v>
      </c>
      <c r="I32" s="2" t="s">
        <v>751</v>
      </c>
      <c r="K32" s="2" t="s">
        <v>875</v>
      </c>
      <c r="L32" s="173" t="s">
        <v>988</v>
      </c>
    </row>
    <row r="33" spans="1:12">
      <c r="A33" s="2" t="s">
        <v>184</v>
      </c>
      <c r="B33" s="2" t="s">
        <v>202</v>
      </c>
      <c r="C33" s="2" t="s">
        <v>975</v>
      </c>
      <c r="D33" s="172" t="s">
        <v>976</v>
      </c>
      <c r="E33" s="2" t="s">
        <v>977</v>
      </c>
      <c r="F33" s="2" t="s">
        <v>978</v>
      </c>
      <c r="G33" s="2" t="s">
        <v>979</v>
      </c>
      <c r="H33" s="168" t="s">
        <v>980</v>
      </c>
      <c r="I33" s="187" t="s">
        <v>887</v>
      </c>
      <c r="K33" s="2" t="s">
        <v>865</v>
      </c>
      <c r="L33" s="173" t="s">
        <v>981</v>
      </c>
    </row>
    <row r="34" spans="1:12">
      <c r="A34" s="2" t="s">
        <v>186</v>
      </c>
      <c r="B34" s="2" t="s">
        <v>187</v>
      </c>
      <c r="C34" s="2" t="s">
        <v>840</v>
      </c>
      <c r="D34" s="172" t="s">
        <v>841</v>
      </c>
      <c r="E34" s="2" t="s">
        <v>842</v>
      </c>
      <c r="F34" s="174" t="s">
        <v>843</v>
      </c>
      <c r="G34" s="165" t="s">
        <v>844</v>
      </c>
      <c r="H34" s="168" t="s">
        <v>845</v>
      </c>
      <c r="I34" s="2" t="s">
        <v>846</v>
      </c>
      <c r="K34" s="2" t="s">
        <v>847</v>
      </c>
    </row>
    <row r="35" spans="1:12">
      <c r="A35" s="2" t="s">
        <v>192</v>
      </c>
      <c r="B35" s="2" t="s">
        <v>49</v>
      </c>
      <c r="C35" s="2" t="s">
        <v>907</v>
      </c>
      <c r="D35" s="166" t="s">
        <v>912</v>
      </c>
      <c r="E35" s="174" t="s">
        <v>913</v>
      </c>
      <c r="F35" s="172" t="s">
        <v>908</v>
      </c>
      <c r="G35" s="165" t="s">
        <v>909</v>
      </c>
      <c r="H35" s="168" t="s">
        <v>911</v>
      </c>
    </row>
    <row r="36" spans="1:12">
      <c r="A36" s="2" t="s">
        <v>210</v>
      </c>
      <c r="B36" s="2" t="s">
        <v>287</v>
      </c>
      <c r="C36" s="2" t="s">
        <v>670</v>
      </c>
      <c r="D36" s="167" t="s">
        <v>882</v>
      </c>
      <c r="E36" s="2" t="s">
        <v>548</v>
      </c>
      <c r="F36" s="2" t="s">
        <v>883</v>
      </c>
      <c r="G36" s="165" t="s">
        <v>885</v>
      </c>
      <c r="H36" s="168" t="s">
        <v>886</v>
      </c>
      <c r="I36" s="187" t="s">
        <v>887</v>
      </c>
      <c r="K36" s="2" t="s">
        <v>888</v>
      </c>
      <c r="L36" s="165" t="s">
        <v>889</v>
      </c>
    </row>
    <row r="37" spans="1:12">
      <c r="A37" s="2" t="s">
        <v>211</v>
      </c>
      <c r="B37" s="2" t="s">
        <v>288</v>
      </c>
      <c r="D37" s="167" t="s">
        <v>878</v>
      </c>
      <c r="E37" s="2" t="s">
        <v>547</v>
      </c>
      <c r="F37" s="2" t="s">
        <v>879</v>
      </c>
      <c r="G37" s="165" t="s">
        <v>884</v>
      </c>
      <c r="H37" s="168" t="s">
        <v>880</v>
      </c>
      <c r="I37" s="187" t="s">
        <v>689</v>
      </c>
      <c r="L37" s="165" t="s">
        <v>881</v>
      </c>
    </row>
    <row r="38" spans="1:12">
      <c r="A38" s="2" t="s">
        <v>317</v>
      </c>
      <c r="B38" s="2" t="s">
        <v>289</v>
      </c>
      <c r="C38" s="2" t="s">
        <v>868</v>
      </c>
      <c r="D38" s="172" t="s">
        <v>645</v>
      </c>
      <c r="E38" s="169" t="s">
        <v>869</v>
      </c>
      <c r="F38" s="2" t="s">
        <v>785</v>
      </c>
      <c r="G38" s="165" t="s">
        <v>867</v>
      </c>
      <c r="H38" s="168" t="s">
        <v>866</v>
      </c>
      <c r="I38" s="166" t="s">
        <v>870</v>
      </c>
      <c r="K38" s="2" t="s">
        <v>865</v>
      </c>
      <c r="L38" s="165" t="s">
        <v>864</v>
      </c>
    </row>
    <row r="39" spans="1:12">
      <c r="A39" s="2" t="s">
        <v>318</v>
      </c>
      <c r="B39" s="2" t="s">
        <v>290</v>
      </c>
      <c r="C39" s="2" t="s">
        <v>871</v>
      </c>
      <c r="D39" s="172" t="s">
        <v>639</v>
      </c>
      <c r="E39" s="169" t="s">
        <v>877</v>
      </c>
      <c r="F39" s="2" t="s">
        <v>795</v>
      </c>
      <c r="G39" s="165" t="s">
        <v>872</v>
      </c>
      <c r="H39" s="168" t="s">
        <v>873</v>
      </c>
      <c r="I39" s="166" t="s">
        <v>876</v>
      </c>
      <c r="K39" s="2" t="s">
        <v>875</v>
      </c>
      <c r="L39" s="165" t="s">
        <v>874</v>
      </c>
    </row>
    <row r="40" spans="1:12">
      <c r="A40" s="2" t="s">
        <v>472</v>
      </c>
      <c r="B40" s="2" t="s">
        <v>291</v>
      </c>
      <c r="C40" s="2" t="s">
        <v>764</v>
      </c>
      <c r="D40" s="2" t="s">
        <v>765</v>
      </c>
      <c r="E40" s="169" t="s">
        <v>644</v>
      </c>
      <c r="F40" s="174" t="s">
        <v>766</v>
      </c>
      <c r="G40" s="171" t="s">
        <v>767</v>
      </c>
      <c r="H40" s="168" t="s">
        <v>768</v>
      </c>
      <c r="I40" s="2" t="s">
        <v>769</v>
      </c>
      <c r="J40" s="2" t="s">
        <v>770</v>
      </c>
      <c r="K40" s="2" t="s">
        <v>771</v>
      </c>
      <c r="L40" s="165" t="s">
        <v>772</v>
      </c>
    </row>
    <row r="41" spans="1:12">
      <c r="A41" s="2" t="s">
        <v>473</v>
      </c>
      <c r="B41" s="2" t="s">
        <v>292</v>
      </c>
      <c r="C41" s="2" t="s">
        <v>773</v>
      </c>
      <c r="D41" s="2" t="s">
        <v>774</v>
      </c>
      <c r="E41" s="169" t="s">
        <v>651</v>
      </c>
      <c r="F41" s="174" t="s">
        <v>775</v>
      </c>
      <c r="G41" s="171" t="s">
        <v>776</v>
      </c>
      <c r="H41" s="168" t="s">
        <v>777</v>
      </c>
      <c r="I41" s="2" t="s">
        <v>778</v>
      </c>
      <c r="J41" s="2" t="s">
        <v>779</v>
      </c>
      <c r="K41" s="2" t="s">
        <v>780</v>
      </c>
      <c r="L41" s="165" t="s">
        <v>781</v>
      </c>
    </row>
    <row r="42" spans="1:12">
      <c r="A42" s="2" t="s">
        <v>474</v>
      </c>
      <c r="B42" s="2" t="s">
        <v>293</v>
      </c>
      <c r="C42" s="2" t="s">
        <v>701</v>
      </c>
      <c r="D42" s="2" t="s">
        <v>702</v>
      </c>
      <c r="E42" s="167" t="s">
        <v>703</v>
      </c>
      <c r="F42" s="2" t="s">
        <v>704</v>
      </c>
      <c r="G42" s="171" t="s">
        <v>547</v>
      </c>
      <c r="H42" s="168" t="s">
        <v>705</v>
      </c>
      <c r="I42" s="170" t="s">
        <v>361</v>
      </c>
      <c r="J42" s="2" t="s">
        <v>706</v>
      </c>
      <c r="K42" s="2" t="s">
        <v>707</v>
      </c>
      <c r="L42" s="165" t="s">
        <v>708</v>
      </c>
    </row>
    <row r="43" spans="1:12">
      <c r="A43" s="2" t="s">
        <v>475</v>
      </c>
      <c r="B43" s="2" t="s">
        <v>294</v>
      </c>
      <c r="C43" s="2" t="s">
        <v>709</v>
      </c>
      <c r="D43" s="2" t="s">
        <v>710</v>
      </c>
      <c r="E43" s="167" t="s">
        <v>711</v>
      </c>
      <c r="F43" s="2" t="s">
        <v>101</v>
      </c>
      <c r="G43" s="171" t="s">
        <v>550</v>
      </c>
      <c r="H43" s="168" t="s">
        <v>712</v>
      </c>
      <c r="I43" s="170" t="s">
        <v>362</v>
      </c>
      <c r="J43" s="2" t="s">
        <v>713</v>
      </c>
      <c r="K43" s="2" t="s">
        <v>714</v>
      </c>
      <c r="L43" s="165" t="s">
        <v>715</v>
      </c>
    </row>
    <row r="44" spans="1:12">
      <c r="A44" s="2" t="s">
        <v>347</v>
      </c>
      <c r="B44" s="2" t="s">
        <v>222</v>
      </c>
      <c r="C44" s="187" t="s">
        <v>1004</v>
      </c>
      <c r="D44" s="166" t="s">
        <v>937</v>
      </c>
      <c r="E44" s="167" t="s">
        <v>1005</v>
      </c>
      <c r="F44" s="172" t="s">
        <v>897</v>
      </c>
      <c r="G44" s="169" t="s">
        <v>960</v>
      </c>
      <c r="H44" s="168" t="s">
        <v>1006</v>
      </c>
      <c r="K44" s="2" t="s">
        <v>862</v>
      </c>
      <c r="L44" s="2" t="s">
        <v>1007</v>
      </c>
    </row>
    <row r="45" spans="1:12">
      <c r="A45" s="2" t="s">
        <v>348</v>
      </c>
      <c r="B45" s="2" t="s">
        <v>221</v>
      </c>
      <c r="C45" s="187" t="s">
        <v>1000</v>
      </c>
      <c r="D45" s="166" t="s">
        <v>930</v>
      </c>
      <c r="E45" s="167" t="s">
        <v>1001</v>
      </c>
      <c r="F45" s="172" t="s">
        <v>893</v>
      </c>
      <c r="G45" s="169" t="s">
        <v>952</v>
      </c>
      <c r="H45" s="168" t="s">
        <v>1002</v>
      </c>
      <c r="K45" s="2" t="s">
        <v>854</v>
      </c>
      <c r="L45" s="2" t="s">
        <v>1003</v>
      </c>
    </row>
    <row r="46" spans="1:12">
      <c r="A46" s="2" t="s">
        <v>349</v>
      </c>
      <c r="B46" s="2" t="s">
        <v>220</v>
      </c>
      <c r="C46" s="187" t="s">
        <v>993</v>
      </c>
      <c r="D46" s="166" t="s">
        <v>926</v>
      </c>
      <c r="E46" s="170" t="s">
        <v>717</v>
      </c>
      <c r="F46" s="172" t="s">
        <v>994</v>
      </c>
      <c r="G46" s="169" t="s">
        <v>995</v>
      </c>
      <c r="H46" s="168" t="s">
        <v>996</v>
      </c>
      <c r="I46" s="2" t="s">
        <v>997</v>
      </c>
      <c r="K46" s="2" t="s">
        <v>998</v>
      </c>
      <c r="L46" s="2" t="s">
        <v>999</v>
      </c>
    </row>
    <row r="47" spans="1:12" ht="14.25" customHeight="1">
      <c r="A47" s="2" t="s">
        <v>350</v>
      </c>
      <c r="B47" s="2" t="s">
        <v>219</v>
      </c>
      <c r="C47" s="187" t="s">
        <v>989</v>
      </c>
      <c r="D47" s="166" t="s">
        <v>990</v>
      </c>
      <c r="E47" s="170" t="s">
        <v>724</v>
      </c>
      <c r="F47" s="172" t="s">
        <v>991</v>
      </c>
      <c r="G47" s="169" t="s">
        <v>945</v>
      </c>
      <c r="H47" s="168" t="s">
        <v>992</v>
      </c>
      <c r="I47" s="2" t="s">
        <v>731</v>
      </c>
      <c r="K47" s="2" t="s">
        <v>974</v>
      </c>
      <c r="L47" s="2" t="s">
        <v>888</v>
      </c>
    </row>
    <row r="48" spans="1:12">
      <c r="A48" s="2" t="s">
        <v>351</v>
      </c>
      <c r="B48" s="2" t="s">
        <v>224</v>
      </c>
      <c r="C48" s="187" t="s">
        <v>1015</v>
      </c>
      <c r="D48" s="166" t="s">
        <v>950</v>
      </c>
      <c r="E48" s="167" t="s">
        <v>756</v>
      </c>
      <c r="F48" s="172" t="s">
        <v>908</v>
      </c>
      <c r="G48" s="2" t="s">
        <v>1014</v>
      </c>
      <c r="H48" s="168" t="s">
        <v>1013</v>
      </c>
      <c r="I48" s="2" t="s">
        <v>1012</v>
      </c>
      <c r="K48" s="2" t="s">
        <v>875</v>
      </c>
    </row>
    <row r="49" spans="1:12">
      <c r="A49" s="2" t="s">
        <v>352</v>
      </c>
      <c r="B49" s="2" t="s">
        <v>223</v>
      </c>
      <c r="C49" s="187" t="s">
        <v>1008</v>
      </c>
      <c r="D49" s="166" t="s">
        <v>947</v>
      </c>
      <c r="E49" s="167" t="s">
        <v>747</v>
      </c>
      <c r="F49" s="172" t="s">
        <v>904</v>
      </c>
      <c r="G49" s="2" t="s">
        <v>1010</v>
      </c>
      <c r="H49" s="168" t="s">
        <v>1009</v>
      </c>
      <c r="I49" s="2" t="s">
        <v>1011</v>
      </c>
      <c r="K49" s="2" t="s">
        <v>865</v>
      </c>
    </row>
    <row r="50" spans="1:12">
      <c r="A50" s="2" t="s">
        <v>353</v>
      </c>
      <c r="B50" s="2" t="s">
        <v>181</v>
      </c>
      <c r="C50" s="2" t="s">
        <v>925</v>
      </c>
      <c r="D50" s="166" t="s">
        <v>926</v>
      </c>
      <c r="E50" s="167" t="s">
        <v>882</v>
      </c>
      <c r="F50" s="2" t="s">
        <v>927</v>
      </c>
      <c r="G50" s="2" t="s">
        <v>928</v>
      </c>
      <c r="H50" s="168" t="s">
        <v>933</v>
      </c>
      <c r="K50" s="2" t="s">
        <v>368</v>
      </c>
    </row>
    <row r="51" spans="1:12">
      <c r="A51" s="2" t="s">
        <v>355</v>
      </c>
      <c r="B51" s="2" t="s">
        <v>323</v>
      </c>
      <c r="C51" s="2" t="s">
        <v>948</v>
      </c>
      <c r="D51" s="166" t="s">
        <v>947</v>
      </c>
      <c r="E51" s="167" t="s">
        <v>946</v>
      </c>
      <c r="F51" s="169" t="s">
        <v>945</v>
      </c>
      <c r="G51" s="165" t="s">
        <v>944</v>
      </c>
      <c r="H51" s="168" t="s">
        <v>935</v>
      </c>
      <c r="K51" s="2" t="s">
        <v>943</v>
      </c>
    </row>
    <row r="52" spans="1:12">
      <c r="A52" s="2" t="s">
        <v>356</v>
      </c>
      <c r="B52" s="2" t="s">
        <v>324</v>
      </c>
      <c r="C52" s="2" t="s">
        <v>949</v>
      </c>
      <c r="D52" s="166" t="s">
        <v>950</v>
      </c>
      <c r="E52" s="167" t="s">
        <v>951</v>
      </c>
      <c r="F52" s="169" t="s">
        <v>952</v>
      </c>
      <c r="G52" s="165" t="s">
        <v>953</v>
      </c>
      <c r="H52" s="168" t="s">
        <v>941</v>
      </c>
      <c r="K52" s="2" t="s">
        <v>954</v>
      </c>
    </row>
    <row r="53" spans="1:12">
      <c r="A53" s="2" t="s">
        <v>357</v>
      </c>
      <c r="B53" s="2" t="s">
        <v>320</v>
      </c>
      <c r="C53" s="2" t="s">
        <v>919</v>
      </c>
      <c r="D53" s="166" t="s">
        <v>920</v>
      </c>
      <c r="E53" s="170" t="s">
        <v>724</v>
      </c>
      <c r="F53" s="2" t="s">
        <v>921</v>
      </c>
      <c r="G53" s="2" t="s">
        <v>922</v>
      </c>
      <c r="H53" s="168" t="s">
        <v>923</v>
      </c>
      <c r="K53" s="2" t="s">
        <v>924</v>
      </c>
    </row>
    <row r="54" spans="1:12">
      <c r="A54" s="2" t="s">
        <v>358</v>
      </c>
      <c r="B54" s="2" t="s">
        <v>322</v>
      </c>
      <c r="C54" s="2" t="s">
        <v>936</v>
      </c>
      <c r="D54" s="166" t="s">
        <v>937</v>
      </c>
      <c r="E54" s="167" t="s">
        <v>638</v>
      </c>
      <c r="F54" s="2" t="s">
        <v>938</v>
      </c>
      <c r="G54" s="165" t="s">
        <v>939</v>
      </c>
      <c r="H54" s="168" t="s">
        <v>940</v>
      </c>
      <c r="K54" s="2" t="s">
        <v>370</v>
      </c>
    </row>
    <row r="55" spans="1:12">
      <c r="A55" s="2" t="s">
        <v>359</v>
      </c>
      <c r="B55" s="2" t="s">
        <v>321</v>
      </c>
      <c r="C55" s="2" t="s">
        <v>929</v>
      </c>
      <c r="D55" s="166" t="s">
        <v>930</v>
      </c>
      <c r="E55" s="167" t="s">
        <v>646</v>
      </c>
      <c r="F55" s="2" t="s">
        <v>931</v>
      </c>
      <c r="G55" s="2" t="s">
        <v>932</v>
      </c>
      <c r="H55" s="168" t="s">
        <v>934</v>
      </c>
      <c r="K55" s="2" t="s">
        <v>369</v>
      </c>
    </row>
    <row r="56" spans="1:12">
      <c r="A56" s="2" t="s">
        <v>360</v>
      </c>
      <c r="B56" s="2" t="s">
        <v>325</v>
      </c>
      <c r="C56" s="2" t="s">
        <v>957</v>
      </c>
      <c r="D56" s="166" t="s">
        <v>958</v>
      </c>
      <c r="E56" s="167" t="s">
        <v>959</v>
      </c>
      <c r="F56" s="169" t="s">
        <v>960</v>
      </c>
      <c r="G56" s="165" t="s">
        <v>956</v>
      </c>
      <c r="H56" s="168" t="s">
        <v>942</v>
      </c>
      <c r="K56" s="2" t="s">
        <v>955</v>
      </c>
    </row>
    <row r="59" spans="1:12">
      <c r="A59" s="2" t="s">
        <v>1028</v>
      </c>
    </row>
    <row r="60" spans="1:12">
      <c r="A60" s="2" t="s">
        <v>1016</v>
      </c>
      <c r="B60" s="2" t="s">
        <v>1017</v>
      </c>
      <c r="C60" s="2" t="s">
        <v>1018</v>
      </c>
      <c r="D60" s="2" t="s">
        <v>1019</v>
      </c>
      <c r="E60" s="2" t="s">
        <v>1020</v>
      </c>
      <c r="F60" s="2" t="s">
        <v>1021</v>
      </c>
      <c r="G60" s="2" t="s">
        <v>1022</v>
      </c>
      <c r="H60" s="2" t="s">
        <v>1023</v>
      </c>
      <c r="I60" s="2" t="s">
        <v>1024</v>
      </c>
      <c r="J60" s="2" t="s">
        <v>1025</v>
      </c>
      <c r="K60" s="2" t="s">
        <v>1026</v>
      </c>
      <c r="L60" s="2" t="s">
        <v>1027</v>
      </c>
    </row>
    <row r="61" spans="1:12" s="182" customFormat="1" ht="30">
      <c r="A61" s="175" t="s">
        <v>16</v>
      </c>
      <c r="B61" s="175" t="s">
        <v>17</v>
      </c>
      <c r="C61" s="176" t="s">
        <v>636</v>
      </c>
      <c r="D61" s="177" t="s">
        <v>1029</v>
      </c>
      <c r="E61" s="178" t="s">
        <v>1044</v>
      </c>
      <c r="F61" s="175" t="s">
        <v>640</v>
      </c>
      <c r="G61" s="179" t="s">
        <v>641</v>
      </c>
      <c r="H61" s="180" t="s">
        <v>642</v>
      </c>
      <c r="I61" s="175" t="s">
        <v>643</v>
      </c>
      <c r="J61" s="181" t="s">
        <v>644</v>
      </c>
      <c r="K61" s="175"/>
      <c r="L61" s="175"/>
    </row>
    <row r="62" spans="1:12" s="182" customFormat="1" ht="30">
      <c r="A62" s="175" t="s">
        <v>22</v>
      </c>
      <c r="B62" s="175" t="s">
        <v>23</v>
      </c>
      <c r="C62" s="176" t="s">
        <v>637</v>
      </c>
      <c r="D62" s="177" t="s">
        <v>645</v>
      </c>
      <c r="E62" s="178" t="s">
        <v>1045</v>
      </c>
      <c r="F62" s="175" t="s">
        <v>647</v>
      </c>
      <c r="G62" s="179" t="s">
        <v>648</v>
      </c>
      <c r="H62" s="180" t="s">
        <v>649</v>
      </c>
      <c r="I62" s="175" t="s">
        <v>650</v>
      </c>
      <c r="J62" s="181" t="s">
        <v>651</v>
      </c>
      <c r="K62" s="175"/>
      <c r="L62" s="175"/>
    </row>
    <row r="63" spans="1:12" s="182" customFormat="1" ht="30">
      <c r="A63" s="175" t="s">
        <v>28</v>
      </c>
      <c r="B63" s="175" t="s">
        <v>29</v>
      </c>
      <c r="C63" s="175" t="s">
        <v>890</v>
      </c>
      <c r="D63" s="179" t="s">
        <v>891</v>
      </c>
      <c r="E63" s="183" t="s">
        <v>892</v>
      </c>
      <c r="F63" s="177" t="s">
        <v>1030</v>
      </c>
      <c r="G63" s="184" t="s">
        <v>894</v>
      </c>
      <c r="H63" s="180" t="s">
        <v>895</v>
      </c>
      <c r="I63" s="175"/>
      <c r="J63" s="175"/>
      <c r="K63" s="175"/>
      <c r="L63" s="175"/>
    </row>
    <row r="64" spans="1:12" s="182" customFormat="1" ht="30">
      <c r="A64" s="175" t="s">
        <v>35</v>
      </c>
      <c r="B64" s="175" t="s">
        <v>36</v>
      </c>
      <c r="C64" s="175" t="s">
        <v>896</v>
      </c>
      <c r="D64" s="179" t="s">
        <v>900</v>
      </c>
      <c r="E64" s="183" t="s">
        <v>901</v>
      </c>
      <c r="F64" s="177" t="s">
        <v>1031</v>
      </c>
      <c r="G64" s="184" t="s">
        <v>898</v>
      </c>
      <c r="H64" s="180" t="s">
        <v>899</v>
      </c>
      <c r="I64" s="175"/>
      <c r="J64" s="175"/>
      <c r="K64" s="175"/>
      <c r="L64" s="175"/>
    </row>
    <row r="65" spans="1:12" s="182" customFormat="1" ht="30">
      <c r="A65" s="175" t="s">
        <v>42</v>
      </c>
      <c r="B65" s="175" t="s">
        <v>43</v>
      </c>
      <c r="C65" s="175" t="s">
        <v>902</v>
      </c>
      <c r="D65" s="179" t="s">
        <v>906</v>
      </c>
      <c r="E65" s="183" t="s">
        <v>905</v>
      </c>
      <c r="F65" s="177" t="s">
        <v>1032</v>
      </c>
      <c r="G65" s="184" t="s">
        <v>903</v>
      </c>
      <c r="H65" s="180" t="s">
        <v>910</v>
      </c>
      <c r="I65" s="175"/>
      <c r="J65" s="175"/>
      <c r="K65" s="175"/>
      <c r="L65" s="175"/>
    </row>
    <row r="66" spans="1:12" s="182" customFormat="1" ht="30">
      <c r="A66" s="175">
        <v>5</v>
      </c>
      <c r="B66" s="175" t="s">
        <v>193</v>
      </c>
      <c r="C66" s="175" t="s">
        <v>914</v>
      </c>
      <c r="D66" s="179" t="s">
        <v>915</v>
      </c>
      <c r="E66" s="183" t="s">
        <v>916</v>
      </c>
      <c r="F66" s="177" t="s">
        <v>1033</v>
      </c>
      <c r="G66" s="184" t="s">
        <v>917</v>
      </c>
      <c r="H66" s="180" t="s">
        <v>918</v>
      </c>
      <c r="I66" s="175"/>
      <c r="J66" s="175"/>
      <c r="K66" s="175"/>
      <c r="L66" s="175"/>
    </row>
    <row r="67" spans="1:12" s="182" customFormat="1">
      <c r="A67" s="175">
        <v>6</v>
      </c>
      <c r="B67" s="175" t="s">
        <v>64</v>
      </c>
      <c r="C67" s="175" t="s">
        <v>824</v>
      </c>
      <c r="D67" s="175" t="s">
        <v>825</v>
      </c>
      <c r="E67" s="179" t="s">
        <v>826</v>
      </c>
      <c r="F67" s="183" t="s">
        <v>827</v>
      </c>
      <c r="G67" s="184" t="s">
        <v>828</v>
      </c>
      <c r="H67" s="180" t="s">
        <v>829</v>
      </c>
      <c r="I67" s="175" t="s">
        <v>830</v>
      </c>
      <c r="J67" s="175"/>
      <c r="K67" s="175" t="s">
        <v>831</v>
      </c>
      <c r="L67" s="175"/>
    </row>
    <row r="68" spans="1:12" s="182" customFormat="1" ht="30">
      <c r="A68" s="175">
        <v>7</v>
      </c>
      <c r="B68" s="175" t="s">
        <v>54</v>
      </c>
      <c r="C68" s="175" t="s">
        <v>856</v>
      </c>
      <c r="D68" s="177" t="s">
        <v>857</v>
      </c>
      <c r="E68" s="178" t="s">
        <v>1048</v>
      </c>
      <c r="F68" s="183" t="s">
        <v>775</v>
      </c>
      <c r="G68" s="184" t="s">
        <v>859</v>
      </c>
      <c r="H68" s="180" t="s">
        <v>860</v>
      </c>
      <c r="I68" s="179" t="s">
        <v>861</v>
      </c>
      <c r="J68" s="175"/>
      <c r="K68" s="175" t="s">
        <v>862</v>
      </c>
      <c r="L68" s="184" t="s">
        <v>863</v>
      </c>
    </row>
    <row r="69" spans="1:12" s="182" customFormat="1" ht="30">
      <c r="A69" s="175">
        <v>8</v>
      </c>
      <c r="B69" s="175" t="s">
        <v>59</v>
      </c>
      <c r="C69" s="175" t="s">
        <v>848</v>
      </c>
      <c r="D69" s="177" t="s">
        <v>849</v>
      </c>
      <c r="E69" s="178" t="s">
        <v>1049</v>
      </c>
      <c r="F69" s="183" t="s">
        <v>766</v>
      </c>
      <c r="G69" s="184" t="s">
        <v>851</v>
      </c>
      <c r="H69" s="180" t="s">
        <v>852</v>
      </c>
      <c r="I69" s="179" t="s">
        <v>853</v>
      </c>
      <c r="J69" s="175"/>
      <c r="K69" s="175" t="s">
        <v>854</v>
      </c>
      <c r="L69" s="184" t="s">
        <v>855</v>
      </c>
    </row>
    <row r="70" spans="1:12" s="182" customFormat="1">
      <c r="A70" s="175" t="s">
        <v>68</v>
      </c>
      <c r="B70" s="175" t="s">
        <v>69</v>
      </c>
      <c r="C70" s="175" t="s">
        <v>834</v>
      </c>
      <c r="D70" s="175" t="s">
        <v>835</v>
      </c>
      <c r="E70" s="179" t="s">
        <v>836</v>
      </c>
      <c r="F70" s="183" t="s">
        <v>837</v>
      </c>
      <c r="G70" s="184" t="s">
        <v>832</v>
      </c>
      <c r="H70" s="180" t="s">
        <v>833</v>
      </c>
      <c r="I70" s="175" t="s">
        <v>838</v>
      </c>
      <c r="J70" s="175"/>
      <c r="K70" s="175" t="s">
        <v>839</v>
      </c>
      <c r="L70" s="175"/>
    </row>
    <row r="71" spans="1:12" s="182" customFormat="1">
      <c r="A71" s="175" t="s">
        <v>73</v>
      </c>
      <c r="B71" s="175" t="s">
        <v>74</v>
      </c>
      <c r="C71" s="175" t="s">
        <v>606</v>
      </c>
      <c r="D71" s="179" t="s">
        <v>802</v>
      </c>
      <c r="E71" s="183" t="s">
        <v>77</v>
      </c>
      <c r="F71" s="181" t="s">
        <v>803</v>
      </c>
      <c r="G71" s="184" t="s">
        <v>804</v>
      </c>
      <c r="H71" s="180" t="s">
        <v>805</v>
      </c>
      <c r="I71" s="175" t="s">
        <v>806</v>
      </c>
      <c r="J71" s="175"/>
      <c r="K71" s="175" t="s">
        <v>807</v>
      </c>
      <c r="L71" s="175"/>
    </row>
    <row r="72" spans="1:12" s="182" customFormat="1">
      <c r="A72" s="175" t="s">
        <v>79</v>
      </c>
      <c r="B72" s="175" t="s">
        <v>80</v>
      </c>
      <c r="C72" s="175" t="s">
        <v>608</v>
      </c>
      <c r="D72" s="179" t="s">
        <v>814</v>
      </c>
      <c r="E72" s="176" t="s">
        <v>733</v>
      </c>
      <c r="F72" s="181" t="s">
        <v>815</v>
      </c>
      <c r="G72" s="184" t="s">
        <v>816</v>
      </c>
      <c r="H72" s="180" t="s">
        <v>817</v>
      </c>
      <c r="I72" s="175" t="s">
        <v>818</v>
      </c>
      <c r="J72" s="175"/>
      <c r="K72" s="175" t="s">
        <v>679</v>
      </c>
      <c r="L72" s="175"/>
    </row>
    <row r="73" spans="1:12" s="182" customFormat="1">
      <c r="A73" s="175" t="s">
        <v>85</v>
      </c>
      <c r="B73" s="175" t="s">
        <v>86</v>
      </c>
      <c r="C73" s="175" t="s">
        <v>607</v>
      </c>
      <c r="D73" s="179" t="s">
        <v>808</v>
      </c>
      <c r="E73" s="183" t="s">
        <v>89</v>
      </c>
      <c r="F73" s="181" t="s">
        <v>809</v>
      </c>
      <c r="G73" s="184" t="s">
        <v>810</v>
      </c>
      <c r="H73" s="180" t="s">
        <v>811</v>
      </c>
      <c r="I73" s="175" t="s">
        <v>812</v>
      </c>
      <c r="J73" s="175"/>
      <c r="K73" s="175" t="s">
        <v>813</v>
      </c>
      <c r="L73" s="175"/>
    </row>
    <row r="74" spans="1:12" s="182" customFormat="1">
      <c r="A74" s="175" t="s">
        <v>91</v>
      </c>
      <c r="B74" s="175" t="s">
        <v>92</v>
      </c>
      <c r="C74" s="175" t="s">
        <v>609</v>
      </c>
      <c r="D74" s="179" t="s">
        <v>819</v>
      </c>
      <c r="E74" s="176" t="s">
        <v>740</v>
      </c>
      <c r="F74" s="181" t="s">
        <v>820</v>
      </c>
      <c r="G74" s="184" t="s">
        <v>821</v>
      </c>
      <c r="H74" s="180" t="s">
        <v>822</v>
      </c>
      <c r="I74" s="175" t="s">
        <v>823</v>
      </c>
      <c r="J74" s="175"/>
      <c r="K74" s="175" t="s">
        <v>682</v>
      </c>
      <c r="L74" s="175"/>
    </row>
    <row r="75" spans="1:12" s="182" customFormat="1" ht="30">
      <c r="A75" s="175" t="s">
        <v>97</v>
      </c>
      <c r="B75" s="175" t="s">
        <v>98</v>
      </c>
      <c r="C75" s="175" t="s">
        <v>684</v>
      </c>
      <c r="D75" s="179" t="s">
        <v>685</v>
      </c>
      <c r="E75" s="178" t="s">
        <v>1050</v>
      </c>
      <c r="F75" s="183" t="s">
        <v>101</v>
      </c>
      <c r="G75" s="175" t="s">
        <v>687</v>
      </c>
      <c r="H75" s="180" t="s">
        <v>688</v>
      </c>
      <c r="I75" s="175" t="s">
        <v>689</v>
      </c>
      <c r="J75" s="175" t="s">
        <v>690</v>
      </c>
      <c r="K75" s="175" t="s">
        <v>691</v>
      </c>
      <c r="L75" s="184" t="s">
        <v>692</v>
      </c>
    </row>
    <row r="76" spans="1:12" s="182" customFormat="1" ht="30">
      <c r="A76" s="175" t="s">
        <v>103</v>
      </c>
      <c r="B76" s="175" t="s">
        <v>104</v>
      </c>
      <c r="C76" s="175" t="s">
        <v>640</v>
      </c>
      <c r="D76" s="179" t="s">
        <v>693</v>
      </c>
      <c r="E76" s="178" t="s">
        <v>1051</v>
      </c>
      <c r="F76" s="183" t="s">
        <v>107</v>
      </c>
      <c r="G76" s="175" t="s">
        <v>695</v>
      </c>
      <c r="H76" s="180" t="s">
        <v>696</v>
      </c>
      <c r="I76" s="175" t="s">
        <v>697</v>
      </c>
      <c r="J76" s="175" t="s">
        <v>698</v>
      </c>
      <c r="K76" s="175" t="s">
        <v>699</v>
      </c>
      <c r="L76" s="184" t="s">
        <v>700</v>
      </c>
    </row>
    <row r="77" spans="1:12" s="182" customFormat="1" ht="30">
      <c r="A77" s="175" t="s">
        <v>109</v>
      </c>
      <c r="B77" s="175" t="s">
        <v>110</v>
      </c>
      <c r="C77" s="175" t="s">
        <v>723</v>
      </c>
      <c r="D77" s="185" t="s">
        <v>724</v>
      </c>
      <c r="E77" s="178" t="s">
        <v>1052</v>
      </c>
      <c r="F77" s="175" t="s">
        <v>726</v>
      </c>
      <c r="G77" s="186" t="s">
        <v>549</v>
      </c>
      <c r="H77" s="180" t="s">
        <v>727</v>
      </c>
      <c r="I77" s="175" t="s">
        <v>364</v>
      </c>
      <c r="J77" s="175" t="s">
        <v>728</v>
      </c>
      <c r="K77" s="175" t="s">
        <v>729</v>
      </c>
      <c r="L77" s="184" t="s">
        <v>730</v>
      </c>
    </row>
    <row r="78" spans="1:12" s="182" customFormat="1" ht="30">
      <c r="A78" s="175" t="s">
        <v>114</v>
      </c>
      <c r="B78" s="175" t="s">
        <v>115</v>
      </c>
      <c r="C78" s="175" t="s">
        <v>716</v>
      </c>
      <c r="D78" s="185" t="s">
        <v>717</v>
      </c>
      <c r="E78" s="178" t="s">
        <v>1053</v>
      </c>
      <c r="F78" s="175" t="s">
        <v>117</v>
      </c>
      <c r="G78" s="186" t="s">
        <v>548</v>
      </c>
      <c r="H78" s="180" t="s">
        <v>719</v>
      </c>
      <c r="I78" s="175" t="s">
        <v>363</v>
      </c>
      <c r="J78" s="175" t="s">
        <v>720</v>
      </c>
      <c r="K78" s="175" t="s">
        <v>721</v>
      </c>
      <c r="L78" s="184" t="s">
        <v>722</v>
      </c>
    </row>
    <row r="79" spans="1:12" s="182" customFormat="1">
      <c r="A79" s="175" t="s">
        <v>119</v>
      </c>
      <c r="B79" s="175" t="s">
        <v>120</v>
      </c>
      <c r="C79" s="175" t="s">
        <v>647</v>
      </c>
      <c r="D79" s="179" t="s">
        <v>672</v>
      </c>
      <c r="E79" s="178" t="s">
        <v>673</v>
      </c>
      <c r="F79" s="185" t="s">
        <v>674</v>
      </c>
      <c r="G79" s="175" t="s">
        <v>653</v>
      </c>
      <c r="H79" s="180" t="s">
        <v>675</v>
      </c>
      <c r="I79" s="175" t="s">
        <v>676</v>
      </c>
      <c r="J79" s="175" t="s">
        <v>681</v>
      </c>
      <c r="K79" s="175" t="s">
        <v>682</v>
      </c>
      <c r="L79" s="184" t="s">
        <v>683</v>
      </c>
    </row>
    <row r="80" spans="1:12" s="182" customFormat="1">
      <c r="A80" s="175" t="s">
        <v>124</v>
      </c>
      <c r="B80" s="175" t="s">
        <v>125</v>
      </c>
      <c r="C80" s="175" t="s">
        <v>666</v>
      </c>
      <c r="D80" s="179" t="s">
        <v>667</v>
      </c>
      <c r="E80" s="178" t="s">
        <v>668</v>
      </c>
      <c r="F80" s="185" t="s">
        <v>669</v>
      </c>
      <c r="G80" s="175" t="s">
        <v>670</v>
      </c>
      <c r="H80" s="180" t="s">
        <v>671</v>
      </c>
      <c r="I80" s="175" t="s">
        <v>677</v>
      </c>
      <c r="J80" s="175" t="s">
        <v>678</v>
      </c>
      <c r="K80" s="175" t="s">
        <v>679</v>
      </c>
      <c r="L80" s="184" t="s">
        <v>680</v>
      </c>
    </row>
    <row r="81" spans="1:12" s="182" customFormat="1" ht="30">
      <c r="A81" s="175" t="s">
        <v>129</v>
      </c>
      <c r="B81" s="175" t="s">
        <v>130</v>
      </c>
      <c r="C81" s="175" t="s">
        <v>746</v>
      </c>
      <c r="D81" s="175" t="s">
        <v>670</v>
      </c>
      <c r="E81" s="178" t="s">
        <v>1054</v>
      </c>
      <c r="F81" s="183" t="s">
        <v>748</v>
      </c>
      <c r="G81" s="186" t="s">
        <v>749</v>
      </c>
      <c r="H81" s="180" t="s">
        <v>750</v>
      </c>
      <c r="I81" s="175" t="s">
        <v>751</v>
      </c>
      <c r="J81" s="175" t="s">
        <v>752</v>
      </c>
      <c r="K81" s="175" t="s">
        <v>753</v>
      </c>
      <c r="L81" s="184" t="s">
        <v>754</v>
      </c>
    </row>
    <row r="82" spans="1:12" s="182" customFormat="1" ht="30">
      <c r="A82" s="175" t="s">
        <v>134</v>
      </c>
      <c r="B82" s="175" t="s">
        <v>135</v>
      </c>
      <c r="C82" s="175" t="s">
        <v>755</v>
      </c>
      <c r="D82" s="175" t="s">
        <v>662</v>
      </c>
      <c r="E82" s="178" t="s">
        <v>1055</v>
      </c>
      <c r="F82" s="183" t="s">
        <v>757</v>
      </c>
      <c r="G82" s="186" t="s">
        <v>758</v>
      </c>
      <c r="H82" s="180" t="s">
        <v>759</v>
      </c>
      <c r="I82" s="175" t="s">
        <v>760</v>
      </c>
      <c r="J82" s="175" t="s">
        <v>761</v>
      </c>
      <c r="K82" s="175" t="s">
        <v>762</v>
      </c>
      <c r="L82" s="184" t="s">
        <v>763</v>
      </c>
    </row>
    <row r="83" spans="1:12" s="182" customFormat="1">
      <c r="A83" s="175" t="s">
        <v>139</v>
      </c>
      <c r="B83" s="175" t="s">
        <v>140</v>
      </c>
      <c r="C83" s="175" t="s">
        <v>731</v>
      </c>
      <c r="D83" s="179" t="s">
        <v>732</v>
      </c>
      <c r="E83" s="176" t="s">
        <v>733</v>
      </c>
      <c r="F83" s="175" t="s">
        <v>653</v>
      </c>
      <c r="G83" s="186" t="s">
        <v>734</v>
      </c>
      <c r="H83" s="180" t="s">
        <v>735</v>
      </c>
      <c r="I83" s="175" t="s">
        <v>365</v>
      </c>
      <c r="J83" s="175" t="s">
        <v>736</v>
      </c>
      <c r="K83" s="175"/>
      <c r="L83" s="184" t="s">
        <v>737</v>
      </c>
    </row>
    <row r="84" spans="1:12" s="182" customFormat="1">
      <c r="A84" s="175" t="s">
        <v>144</v>
      </c>
      <c r="B84" s="175" t="s">
        <v>145</v>
      </c>
      <c r="C84" s="175" t="s">
        <v>738</v>
      </c>
      <c r="D84" s="179" t="s">
        <v>739</v>
      </c>
      <c r="E84" s="176" t="s">
        <v>740</v>
      </c>
      <c r="F84" s="183" t="s">
        <v>741</v>
      </c>
      <c r="G84" s="186" t="s">
        <v>742</v>
      </c>
      <c r="H84" s="180" t="s">
        <v>743</v>
      </c>
      <c r="I84" s="175" t="s">
        <v>366</v>
      </c>
      <c r="J84" s="175" t="s">
        <v>744</v>
      </c>
      <c r="K84" s="175"/>
      <c r="L84" s="184" t="s">
        <v>745</v>
      </c>
    </row>
    <row r="85" spans="1:12" s="182" customFormat="1">
      <c r="A85" s="175" t="s">
        <v>151</v>
      </c>
      <c r="B85" s="175" t="s">
        <v>152</v>
      </c>
      <c r="C85" s="185" t="s">
        <v>652</v>
      </c>
      <c r="D85" s="175" t="s">
        <v>653</v>
      </c>
      <c r="E85" s="178" t="s">
        <v>654</v>
      </c>
      <c r="F85" s="175" t="s">
        <v>655</v>
      </c>
      <c r="G85" s="179" t="s">
        <v>656</v>
      </c>
      <c r="H85" s="180" t="s">
        <v>657</v>
      </c>
      <c r="I85" s="175" t="s">
        <v>658</v>
      </c>
      <c r="J85" s="175" t="s">
        <v>659</v>
      </c>
      <c r="K85" s="175"/>
      <c r="L85" s="175"/>
    </row>
    <row r="86" spans="1:12" s="182" customFormat="1">
      <c r="A86" s="175" t="s">
        <v>156</v>
      </c>
      <c r="B86" s="175" t="s">
        <v>157</v>
      </c>
      <c r="C86" s="185" t="s">
        <v>660</v>
      </c>
      <c r="D86" s="175" t="s">
        <v>160</v>
      </c>
      <c r="E86" s="178" t="s">
        <v>661</v>
      </c>
      <c r="F86" s="175" t="s">
        <v>662</v>
      </c>
      <c r="G86" s="179" t="s">
        <v>663</v>
      </c>
      <c r="H86" s="180" t="s">
        <v>664</v>
      </c>
      <c r="I86" s="175" t="s">
        <v>665</v>
      </c>
      <c r="J86" s="175" t="s">
        <v>643</v>
      </c>
      <c r="K86" s="175"/>
      <c r="L86" s="175"/>
    </row>
    <row r="87" spans="1:12" s="182" customFormat="1">
      <c r="A87" s="175" t="s">
        <v>162</v>
      </c>
      <c r="B87" s="175" t="s">
        <v>163</v>
      </c>
      <c r="C87" s="175" t="s">
        <v>782</v>
      </c>
      <c r="D87" s="175" t="s">
        <v>783</v>
      </c>
      <c r="E87" s="181" t="s">
        <v>784</v>
      </c>
      <c r="F87" s="175" t="s">
        <v>785</v>
      </c>
      <c r="G87" s="186" t="s">
        <v>786</v>
      </c>
      <c r="H87" s="180" t="s">
        <v>787</v>
      </c>
      <c r="I87" s="175" t="s">
        <v>788</v>
      </c>
      <c r="J87" s="175" t="s">
        <v>789</v>
      </c>
      <c r="K87" s="175" t="s">
        <v>790</v>
      </c>
      <c r="L87" s="184" t="s">
        <v>791</v>
      </c>
    </row>
    <row r="88" spans="1:12" s="182" customFormat="1">
      <c r="A88" s="175" t="s">
        <v>167</v>
      </c>
      <c r="B88" s="175" t="s">
        <v>168</v>
      </c>
      <c r="C88" s="175" t="s">
        <v>792</v>
      </c>
      <c r="D88" s="175" t="s">
        <v>793</v>
      </c>
      <c r="E88" s="181" t="s">
        <v>794</v>
      </c>
      <c r="F88" s="175" t="s">
        <v>795</v>
      </c>
      <c r="G88" s="186" t="s">
        <v>796</v>
      </c>
      <c r="H88" s="180" t="s">
        <v>797</v>
      </c>
      <c r="I88" s="175" t="s">
        <v>798</v>
      </c>
      <c r="J88" s="175" t="s">
        <v>799</v>
      </c>
      <c r="K88" s="175" t="s">
        <v>800</v>
      </c>
      <c r="L88" s="184" t="s">
        <v>801</v>
      </c>
    </row>
    <row r="89" spans="1:12" s="182" customFormat="1" ht="30">
      <c r="A89" s="175" t="s">
        <v>172</v>
      </c>
      <c r="B89" s="175" t="s">
        <v>173</v>
      </c>
      <c r="C89" s="175" t="s">
        <v>968</v>
      </c>
      <c r="D89" s="179" t="s">
        <v>969</v>
      </c>
      <c r="E89" s="178" t="s">
        <v>1058</v>
      </c>
      <c r="F89" s="175" t="s">
        <v>971</v>
      </c>
      <c r="G89" s="175" t="s">
        <v>972</v>
      </c>
      <c r="H89" s="180" t="s">
        <v>973</v>
      </c>
      <c r="I89" s="175"/>
      <c r="J89" s="175"/>
      <c r="K89" s="175" t="s">
        <v>974</v>
      </c>
      <c r="L89" s="175"/>
    </row>
    <row r="90" spans="1:12" s="182" customFormat="1" ht="30">
      <c r="A90" s="175" t="s">
        <v>176</v>
      </c>
      <c r="B90" s="175" t="s">
        <v>177</v>
      </c>
      <c r="C90" s="175" t="s">
        <v>961</v>
      </c>
      <c r="D90" s="179" t="s">
        <v>962</v>
      </c>
      <c r="E90" s="178" t="s">
        <v>1059</v>
      </c>
      <c r="F90" s="175" t="s">
        <v>964</v>
      </c>
      <c r="G90" s="175" t="s">
        <v>965</v>
      </c>
      <c r="H90" s="180" t="s">
        <v>966</v>
      </c>
      <c r="I90" s="175"/>
      <c r="J90" s="175"/>
      <c r="K90" s="175" t="s">
        <v>967</v>
      </c>
      <c r="L90" s="175"/>
    </row>
    <row r="91" spans="1:12" s="182" customFormat="1" ht="30">
      <c r="A91" s="175" t="s">
        <v>180</v>
      </c>
      <c r="B91" s="175" t="s">
        <v>198</v>
      </c>
      <c r="C91" s="175" t="s">
        <v>982</v>
      </c>
      <c r="D91" s="177" t="s">
        <v>1035</v>
      </c>
      <c r="E91" s="175" t="s">
        <v>984</v>
      </c>
      <c r="F91" s="175" t="s">
        <v>985</v>
      </c>
      <c r="G91" s="175" t="s">
        <v>986</v>
      </c>
      <c r="H91" s="180" t="s">
        <v>987</v>
      </c>
      <c r="I91" s="175" t="s">
        <v>751</v>
      </c>
      <c r="J91" s="175"/>
      <c r="K91" s="175" t="s">
        <v>875</v>
      </c>
      <c r="L91" s="176" t="s">
        <v>988</v>
      </c>
    </row>
    <row r="92" spans="1:12" s="182" customFormat="1" ht="30">
      <c r="A92" s="175" t="s">
        <v>184</v>
      </c>
      <c r="B92" s="175" t="s">
        <v>202</v>
      </c>
      <c r="C92" s="175" t="s">
        <v>975</v>
      </c>
      <c r="D92" s="177" t="s">
        <v>1034</v>
      </c>
      <c r="E92" s="175" t="s">
        <v>977</v>
      </c>
      <c r="F92" s="175" t="s">
        <v>978</v>
      </c>
      <c r="G92" s="175" t="s">
        <v>979</v>
      </c>
      <c r="H92" s="180" t="s">
        <v>980</v>
      </c>
      <c r="I92" s="175" t="s">
        <v>887</v>
      </c>
      <c r="J92" s="175"/>
      <c r="K92" s="175" t="s">
        <v>865</v>
      </c>
      <c r="L92" s="176" t="s">
        <v>981</v>
      </c>
    </row>
    <row r="93" spans="1:12" s="182" customFormat="1">
      <c r="A93" s="175" t="s">
        <v>186</v>
      </c>
      <c r="B93" s="175" t="s">
        <v>187</v>
      </c>
      <c r="C93" s="175" t="s">
        <v>840</v>
      </c>
      <c r="D93" s="177" t="s">
        <v>841</v>
      </c>
      <c r="E93" s="175" t="s">
        <v>842</v>
      </c>
      <c r="F93" s="183" t="s">
        <v>843</v>
      </c>
      <c r="G93" s="184" t="s">
        <v>844</v>
      </c>
      <c r="H93" s="180" t="s">
        <v>845</v>
      </c>
      <c r="I93" s="175" t="s">
        <v>846</v>
      </c>
      <c r="J93" s="175"/>
      <c r="K93" s="175" t="s">
        <v>847</v>
      </c>
      <c r="L93" s="175"/>
    </row>
    <row r="94" spans="1:12" s="182" customFormat="1" ht="30">
      <c r="A94" s="175" t="s">
        <v>192</v>
      </c>
      <c r="B94" s="175" t="s">
        <v>49</v>
      </c>
      <c r="C94" s="175" t="s">
        <v>907</v>
      </c>
      <c r="D94" s="179" t="s">
        <v>912</v>
      </c>
      <c r="E94" s="183" t="s">
        <v>913</v>
      </c>
      <c r="F94" s="177" t="s">
        <v>1036</v>
      </c>
      <c r="G94" s="184" t="s">
        <v>909</v>
      </c>
      <c r="H94" s="180" t="s">
        <v>911</v>
      </c>
      <c r="I94" s="175"/>
      <c r="J94" s="175"/>
      <c r="K94" s="175"/>
      <c r="L94" s="175"/>
    </row>
    <row r="95" spans="1:12" s="182" customFormat="1" ht="30">
      <c r="A95" s="175" t="s">
        <v>210</v>
      </c>
      <c r="B95" s="175" t="s">
        <v>287</v>
      </c>
      <c r="C95" s="175" t="s">
        <v>670</v>
      </c>
      <c r="D95" s="178" t="s">
        <v>1060</v>
      </c>
      <c r="E95" s="175" t="s">
        <v>548</v>
      </c>
      <c r="F95" s="175" t="s">
        <v>883</v>
      </c>
      <c r="G95" s="184" t="s">
        <v>885</v>
      </c>
      <c r="H95" s="180" t="s">
        <v>886</v>
      </c>
      <c r="I95" s="175" t="s">
        <v>887</v>
      </c>
      <c r="J95" s="175"/>
      <c r="K95" s="175" t="s">
        <v>888</v>
      </c>
      <c r="L95" s="184" t="s">
        <v>889</v>
      </c>
    </row>
    <row r="96" spans="1:12" s="182" customFormat="1" ht="30">
      <c r="A96" s="175" t="s">
        <v>211</v>
      </c>
      <c r="B96" s="175" t="s">
        <v>288</v>
      </c>
      <c r="C96" s="175"/>
      <c r="D96" s="178" t="s">
        <v>1061</v>
      </c>
      <c r="E96" s="175" t="s">
        <v>547</v>
      </c>
      <c r="F96" s="175" t="s">
        <v>879</v>
      </c>
      <c r="G96" s="184" t="s">
        <v>884</v>
      </c>
      <c r="H96" s="180" t="s">
        <v>880</v>
      </c>
      <c r="I96" s="175" t="s">
        <v>689</v>
      </c>
      <c r="J96" s="175"/>
      <c r="K96" s="175"/>
      <c r="L96" s="184" t="s">
        <v>881</v>
      </c>
    </row>
    <row r="97" spans="1:12" s="182" customFormat="1">
      <c r="A97" s="175" t="s">
        <v>317</v>
      </c>
      <c r="B97" s="175" t="s">
        <v>289</v>
      </c>
      <c r="C97" s="175" t="s">
        <v>868</v>
      </c>
      <c r="D97" s="177" t="s">
        <v>645</v>
      </c>
      <c r="E97" s="181" t="s">
        <v>869</v>
      </c>
      <c r="F97" s="175" t="s">
        <v>785</v>
      </c>
      <c r="G97" s="184" t="s">
        <v>867</v>
      </c>
      <c r="H97" s="180" t="s">
        <v>866</v>
      </c>
      <c r="I97" s="179" t="s">
        <v>870</v>
      </c>
      <c r="J97" s="175"/>
      <c r="K97" s="175" t="s">
        <v>865</v>
      </c>
      <c r="L97" s="184" t="s">
        <v>864</v>
      </c>
    </row>
    <row r="98" spans="1:12" s="182" customFormat="1" ht="30">
      <c r="A98" s="175" t="s">
        <v>318</v>
      </c>
      <c r="B98" s="175" t="s">
        <v>290</v>
      </c>
      <c r="C98" s="175" t="s">
        <v>871</v>
      </c>
      <c r="D98" s="177" t="s">
        <v>1037</v>
      </c>
      <c r="E98" s="181" t="s">
        <v>877</v>
      </c>
      <c r="F98" s="175" t="s">
        <v>795</v>
      </c>
      <c r="G98" s="184" t="s">
        <v>872</v>
      </c>
      <c r="H98" s="180" t="s">
        <v>873</v>
      </c>
      <c r="I98" s="179" t="s">
        <v>876</v>
      </c>
      <c r="J98" s="175"/>
      <c r="K98" s="175" t="s">
        <v>875</v>
      </c>
      <c r="L98" s="184" t="s">
        <v>874</v>
      </c>
    </row>
    <row r="99" spans="1:12" s="182" customFormat="1">
      <c r="A99" s="175" t="s">
        <v>472</v>
      </c>
      <c r="B99" s="175" t="s">
        <v>291</v>
      </c>
      <c r="C99" s="175" t="s">
        <v>764</v>
      </c>
      <c r="D99" s="175" t="s">
        <v>765</v>
      </c>
      <c r="E99" s="181" t="s">
        <v>644</v>
      </c>
      <c r="F99" s="183" t="s">
        <v>766</v>
      </c>
      <c r="G99" s="186" t="s">
        <v>767</v>
      </c>
      <c r="H99" s="180" t="s">
        <v>768</v>
      </c>
      <c r="I99" s="175" t="s">
        <v>769</v>
      </c>
      <c r="J99" s="175" t="s">
        <v>770</v>
      </c>
      <c r="K99" s="175" t="s">
        <v>771</v>
      </c>
      <c r="L99" s="184" t="s">
        <v>772</v>
      </c>
    </row>
    <row r="100" spans="1:12" s="182" customFormat="1">
      <c r="A100" s="175" t="s">
        <v>473</v>
      </c>
      <c r="B100" s="175" t="s">
        <v>292</v>
      </c>
      <c r="C100" s="175" t="s">
        <v>773</v>
      </c>
      <c r="D100" s="175" t="s">
        <v>774</v>
      </c>
      <c r="E100" s="181" t="s">
        <v>651</v>
      </c>
      <c r="F100" s="183" t="s">
        <v>775</v>
      </c>
      <c r="G100" s="186" t="s">
        <v>776</v>
      </c>
      <c r="H100" s="180" t="s">
        <v>777</v>
      </c>
      <c r="I100" s="175" t="s">
        <v>778</v>
      </c>
      <c r="J100" s="175" t="s">
        <v>779</v>
      </c>
      <c r="K100" s="175" t="s">
        <v>780</v>
      </c>
      <c r="L100" s="184" t="s">
        <v>781</v>
      </c>
    </row>
    <row r="101" spans="1:12" s="182" customFormat="1">
      <c r="A101" s="175" t="s">
        <v>474</v>
      </c>
      <c r="B101" s="175" t="s">
        <v>293</v>
      </c>
      <c r="C101" s="175" t="s">
        <v>701</v>
      </c>
      <c r="D101" s="175" t="s">
        <v>702</v>
      </c>
      <c r="E101" s="178" t="s">
        <v>703</v>
      </c>
      <c r="F101" s="175" t="s">
        <v>704</v>
      </c>
      <c r="G101" s="186" t="s">
        <v>547</v>
      </c>
      <c r="H101" s="180" t="s">
        <v>705</v>
      </c>
      <c r="I101" s="175" t="s">
        <v>361</v>
      </c>
      <c r="J101" s="175" t="s">
        <v>706</v>
      </c>
      <c r="K101" s="175" t="s">
        <v>707</v>
      </c>
      <c r="L101" s="184" t="s">
        <v>708</v>
      </c>
    </row>
    <row r="102" spans="1:12" s="182" customFormat="1">
      <c r="A102" s="175" t="s">
        <v>475</v>
      </c>
      <c r="B102" s="175" t="s">
        <v>294</v>
      </c>
      <c r="C102" s="175" t="s">
        <v>709</v>
      </c>
      <c r="D102" s="175" t="s">
        <v>710</v>
      </c>
      <c r="E102" s="178" t="s">
        <v>711</v>
      </c>
      <c r="F102" s="175" t="s">
        <v>101</v>
      </c>
      <c r="G102" s="186" t="s">
        <v>550</v>
      </c>
      <c r="H102" s="180" t="s">
        <v>712</v>
      </c>
      <c r="I102" s="175" t="s">
        <v>362</v>
      </c>
      <c r="J102" s="175" t="s">
        <v>713</v>
      </c>
      <c r="K102" s="175" t="s">
        <v>714</v>
      </c>
      <c r="L102" s="184" t="s">
        <v>715</v>
      </c>
    </row>
    <row r="103" spans="1:12" s="182" customFormat="1" ht="30">
      <c r="A103" s="175" t="s">
        <v>347</v>
      </c>
      <c r="B103" s="175" t="s">
        <v>222</v>
      </c>
      <c r="C103" s="175" t="s">
        <v>1004</v>
      </c>
      <c r="D103" s="179" t="s">
        <v>937</v>
      </c>
      <c r="E103" s="178" t="s">
        <v>1005</v>
      </c>
      <c r="F103" s="177" t="s">
        <v>1038</v>
      </c>
      <c r="G103" s="181" t="s">
        <v>960</v>
      </c>
      <c r="H103" s="180" t="s">
        <v>1006</v>
      </c>
      <c r="I103" s="175"/>
      <c r="J103" s="175"/>
      <c r="K103" s="175" t="s">
        <v>862</v>
      </c>
      <c r="L103" s="175" t="s">
        <v>1007</v>
      </c>
    </row>
    <row r="104" spans="1:12" s="182" customFormat="1" ht="30">
      <c r="A104" s="175" t="s">
        <v>348</v>
      </c>
      <c r="B104" s="175" t="s">
        <v>221</v>
      </c>
      <c r="C104" s="175" t="s">
        <v>1000</v>
      </c>
      <c r="D104" s="179" t="s">
        <v>930</v>
      </c>
      <c r="E104" s="178" t="s">
        <v>1001</v>
      </c>
      <c r="F104" s="177" t="s">
        <v>1039</v>
      </c>
      <c r="G104" s="181" t="s">
        <v>952</v>
      </c>
      <c r="H104" s="180" t="s">
        <v>1002</v>
      </c>
      <c r="I104" s="175"/>
      <c r="J104" s="175"/>
      <c r="K104" s="175" t="s">
        <v>854</v>
      </c>
      <c r="L104" s="175" t="s">
        <v>1003</v>
      </c>
    </row>
    <row r="105" spans="1:12" s="182" customFormat="1" ht="30">
      <c r="A105" s="175" t="s">
        <v>349</v>
      </c>
      <c r="B105" s="175" t="s">
        <v>220</v>
      </c>
      <c r="C105" s="175" t="s">
        <v>993</v>
      </c>
      <c r="D105" s="179" t="s">
        <v>926</v>
      </c>
      <c r="E105" s="185" t="s">
        <v>717</v>
      </c>
      <c r="F105" s="177" t="s">
        <v>1041</v>
      </c>
      <c r="G105" s="181" t="s">
        <v>995</v>
      </c>
      <c r="H105" s="180" t="s">
        <v>996</v>
      </c>
      <c r="I105" s="175" t="s">
        <v>997</v>
      </c>
      <c r="J105" s="175"/>
      <c r="K105" s="175" t="s">
        <v>998</v>
      </c>
      <c r="L105" s="175" t="s">
        <v>999</v>
      </c>
    </row>
    <row r="106" spans="1:12" s="182" customFormat="1" ht="30">
      <c r="A106" s="175" t="s">
        <v>350</v>
      </c>
      <c r="B106" s="175" t="s">
        <v>219</v>
      </c>
      <c r="C106" s="175" t="s">
        <v>989</v>
      </c>
      <c r="D106" s="179" t="s">
        <v>990</v>
      </c>
      <c r="E106" s="185" t="s">
        <v>724</v>
      </c>
      <c r="F106" s="177" t="s">
        <v>1040</v>
      </c>
      <c r="G106" s="181" t="s">
        <v>945</v>
      </c>
      <c r="H106" s="180" t="s">
        <v>992</v>
      </c>
      <c r="I106" s="175" t="s">
        <v>731</v>
      </c>
      <c r="J106" s="175"/>
      <c r="K106" s="175" t="s">
        <v>974</v>
      </c>
      <c r="L106" s="175" t="s">
        <v>888</v>
      </c>
    </row>
    <row r="107" spans="1:12" s="182" customFormat="1" ht="30">
      <c r="A107" s="175" t="s">
        <v>351</v>
      </c>
      <c r="B107" s="175" t="s">
        <v>224</v>
      </c>
      <c r="C107" s="175" t="s">
        <v>1015</v>
      </c>
      <c r="D107" s="179" t="s">
        <v>950</v>
      </c>
      <c r="E107" s="178" t="s">
        <v>1056</v>
      </c>
      <c r="F107" s="177" t="s">
        <v>1042</v>
      </c>
      <c r="G107" s="175" t="s">
        <v>1014</v>
      </c>
      <c r="H107" s="180" t="s">
        <v>1013</v>
      </c>
      <c r="I107" s="175" t="s">
        <v>1012</v>
      </c>
      <c r="J107" s="175"/>
      <c r="K107" s="175" t="s">
        <v>875</v>
      </c>
      <c r="L107" s="175"/>
    </row>
    <row r="108" spans="1:12" s="182" customFormat="1" ht="30">
      <c r="A108" s="175" t="s">
        <v>352</v>
      </c>
      <c r="B108" s="175" t="s">
        <v>223</v>
      </c>
      <c r="C108" s="175" t="s">
        <v>1008</v>
      </c>
      <c r="D108" s="179" t="s">
        <v>947</v>
      </c>
      <c r="E108" s="178" t="s">
        <v>1057</v>
      </c>
      <c r="F108" s="177" t="s">
        <v>1043</v>
      </c>
      <c r="G108" s="175" t="s">
        <v>1010</v>
      </c>
      <c r="H108" s="180" t="s">
        <v>1009</v>
      </c>
      <c r="I108" s="175" t="s">
        <v>1011</v>
      </c>
      <c r="J108" s="175"/>
      <c r="K108" s="175" t="s">
        <v>865</v>
      </c>
      <c r="L108" s="175"/>
    </row>
    <row r="109" spans="1:12" s="182" customFormat="1" ht="30">
      <c r="A109" s="175" t="s">
        <v>353</v>
      </c>
      <c r="B109" s="175" t="s">
        <v>181</v>
      </c>
      <c r="C109" s="175" t="s">
        <v>925</v>
      </c>
      <c r="D109" s="179" t="s">
        <v>926</v>
      </c>
      <c r="E109" s="178" t="s">
        <v>1062</v>
      </c>
      <c r="F109" s="175" t="s">
        <v>927</v>
      </c>
      <c r="G109" s="175" t="s">
        <v>928</v>
      </c>
      <c r="H109" s="180" t="s">
        <v>933</v>
      </c>
      <c r="I109" s="175"/>
      <c r="J109" s="175"/>
      <c r="K109" s="175" t="s">
        <v>368</v>
      </c>
      <c r="L109" s="175"/>
    </row>
    <row r="110" spans="1:12" s="182" customFormat="1" ht="45">
      <c r="A110" s="175" t="s">
        <v>355</v>
      </c>
      <c r="B110" s="175" t="s">
        <v>323</v>
      </c>
      <c r="C110" s="175" t="s">
        <v>948</v>
      </c>
      <c r="D110" s="179" t="s">
        <v>947</v>
      </c>
      <c r="E110" s="178" t="s">
        <v>946</v>
      </c>
      <c r="F110" s="181" t="s">
        <v>945</v>
      </c>
      <c r="G110" s="184" t="s">
        <v>944</v>
      </c>
      <c r="H110" s="180" t="s">
        <v>935</v>
      </c>
      <c r="I110" s="175"/>
      <c r="J110" s="175"/>
      <c r="K110" s="175" t="s">
        <v>1064</v>
      </c>
      <c r="L110" s="175"/>
    </row>
    <row r="111" spans="1:12" s="182" customFormat="1" ht="45">
      <c r="A111" s="175" t="s">
        <v>356</v>
      </c>
      <c r="B111" s="175" t="s">
        <v>324</v>
      </c>
      <c r="C111" s="175" t="s">
        <v>949</v>
      </c>
      <c r="D111" s="179" t="s">
        <v>950</v>
      </c>
      <c r="E111" s="178" t="s">
        <v>951</v>
      </c>
      <c r="F111" s="181" t="s">
        <v>952</v>
      </c>
      <c r="G111" s="184" t="s">
        <v>953</v>
      </c>
      <c r="H111" s="180" t="s">
        <v>941</v>
      </c>
      <c r="I111" s="175"/>
      <c r="J111" s="175"/>
      <c r="K111" s="175" t="s">
        <v>1065</v>
      </c>
      <c r="L111" s="175"/>
    </row>
    <row r="112" spans="1:12" s="182" customFormat="1">
      <c r="A112" s="175" t="s">
        <v>357</v>
      </c>
      <c r="B112" s="175" t="s">
        <v>320</v>
      </c>
      <c r="C112" s="175" t="s">
        <v>919</v>
      </c>
      <c r="D112" s="179" t="s">
        <v>920</v>
      </c>
      <c r="E112" s="185" t="s">
        <v>724</v>
      </c>
      <c r="F112" s="175" t="s">
        <v>921</v>
      </c>
      <c r="G112" s="175" t="s">
        <v>922</v>
      </c>
      <c r="H112" s="180" t="s">
        <v>923</v>
      </c>
      <c r="I112" s="175"/>
      <c r="J112" s="175"/>
      <c r="K112" s="175" t="s">
        <v>924</v>
      </c>
      <c r="L112" s="175"/>
    </row>
    <row r="113" spans="1:12" s="182" customFormat="1" ht="45">
      <c r="A113" s="175" t="s">
        <v>358</v>
      </c>
      <c r="B113" s="175" t="s">
        <v>322</v>
      </c>
      <c r="C113" s="175" t="s">
        <v>936</v>
      </c>
      <c r="D113" s="179" t="s">
        <v>937</v>
      </c>
      <c r="E113" s="178" t="s">
        <v>1046</v>
      </c>
      <c r="F113" s="175" t="s">
        <v>938</v>
      </c>
      <c r="G113" s="184" t="s">
        <v>939</v>
      </c>
      <c r="H113" s="180" t="s">
        <v>940</v>
      </c>
      <c r="I113" s="175"/>
      <c r="J113" s="175"/>
      <c r="K113" s="175" t="s">
        <v>1063</v>
      </c>
      <c r="L113" s="175"/>
    </row>
    <row r="114" spans="1:12" s="182" customFormat="1" ht="45">
      <c r="A114" s="175" t="s">
        <v>359</v>
      </c>
      <c r="B114" s="175" t="s">
        <v>321</v>
      </c>
      <c r="C114" s="175" t="s">
        <v>929</v>
      </c>
      <c r="D114" s="179" t="s">
        <v>930</v>
      </c>
      <c r="E114" s="178" t="s">
        <v>1047</v>
      </c>
      <c r="F114" s="175" t="s">
        <v>931</v>
      </c>
      <c r="G114" s="175" t="s">
        <v>932</v>
      </c>
      <c r="H114" s="180" t="s">
        <v>934</v>
      </c>
      <c r="I114" s="175"/>
      <c r="J114" s="175"/>
      <c r="K114" s="175" t="s">
        <v>1067</v>
      </c>
      <c r="L114" s="175"/>
    </row>
    <row r="115" spans="1:12" s="182" customFormat="1" ht="45">
      <c r="A115" s="175" t="s">
        <v>360</v>
      </c>
      <c r="B115" s="175" t="s">
        <v>325</v>
      </c>
      <c r="C115" s="175" t="s">
        <v>957</v>
      </c>
      <c r="D115" s="179" t="s">
        <v>958</v>
      </c>
      <c r="E115" s="178" t="s">
        <v>959</v>
      </c>
      <c r="F115" s="181" t="s">
        <v>960</v>
      </c>
      <c r="G115" s="184" t="s">
        <v>956</v>
      </c>
      <c r="H115" s="180" t="s">
        <v>942</v>
      </c>
      <c r="I115" s="175"/>
      <c r="J115" s="175"/>
      <c r="K115" s="175" t="s">
        <v>1066</v>
      </c>
      <c r="L115" s="175"/>
    </row>
  </sheetData>
  <phoneticPr fontId="6" type="noConversion"/>
  <pageMargins left="0.7" right="0.7" top="0.75" bottom="0.75" header="0.3" footer="0.3"/>
  <pageSetup scale="54" fitToHeight="0" orientation="landscape" r:id="rId1"/>
  <rowBreaks count="1" manualBreakCount="1">
    <brk id="57" max="16383" man="1"/>
  </rowBreaks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5D5F-33C6-4661-A5C7-F4257CE9578E}">
  <sheetPr>
    <pageSetUpPr fitToPage="1"/>
  </sheetPr>
  <dimension ref="A1:M57"/>
  <sheetViews>
    <sheetView workbookViewId="0">
      <selection activeCell="P29" sqref="P29"/>
    </sheetView>
  </sheetViews>
  <sheetFormatPr defaultRowHeight="15"/>
  <cols>
    <col min="1" max="1" width="9.140625" style="2" customWidth="1"/>
    <col min="2" max="2" width="11.28515625" style="2" customWidth="1"/>
    <col min="3" max="3" width="9.5703125" style="2" customWidth="1"/>
    <col min="4" max="4" width="14.5703125" style="2" customWidth="1"/>
    <col min="5" max="5" width="12.7109375" style="2" bestFit="1" customWidth="1"/>
    <col min="6" max="6" width="31.85546875" style="2" bestFit="1" customWidth="1"/>
    <col min="7" max="7" width="16" style="2" bestFit="1" customWidth="1"/>
    <col min="8" max="8" width="9.5703125" style="2" bestFit="1" customWidth="1"/>
    <col min="9" max="9" width="13.42578125" style="2" bestFit="1" customWidth="1"/>
    <col min="10" max="10" width="8" style="2" bestFit="1" customWidth="1"/>
    <col min="11" max="11" width="12" style="2" bestFit="1" customWidth="1"/>
    <col min="12" max="12" width="11.7109375" style="2" bestFit="1" customWidth="1"/>
    <col min="13" max="13" width="18.85546875" style="2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605</v>
      </c>
    </row>
    <row r="2" spans="1:13">
      <c r="A2" s="2" t="s">
        <v>22</v>
      </c>
      <c r="B2" s="2" t="s">
        <v>23</v>
      </c>
      <c r="C2" s="2" t="s">
        <v>551</v>
      </c>
      <c r="D2" s="2" t="s">
        <v>239</v>
      </c>
      <c r="E2" s="2" t="s">
        <v>0</v>
      </c>
      <c r="F2" s="2" t="s">
        <v>262</v>
      </c>
      <c r="G2" s="2" t="s">
        <v>25</v>
      </c>
      <c r="H2" s="2" t="s">
        <v>26</v>
      </c>
      <c r="I2" s="2" t="s">
        <v>0</v>
      </c>
      <c r="J2" s="2" t="s">
        <v>27</v>
      </c>
      <c r="K2" s="2" t="s">
        <v>0</v>
      </c>
      <c r="L2" s="2" t="s">
        <v>0</v>
      </c>
    </row>
    <row r="3" spans="1:13">
      <c r="A3" s="2" t="s">
        <v>16</v>
      </c>
      <c r="B3" s="2" t="s">
        <v>17</v>
      </c>
      <c r="C3" s="2" t="s">
        <v>552</v>
      </c>
      <c r="D3" s="2" t="s">
        <v>238</v>
      </c>
      <c r="E3" s="2" t="s">
        <v>0</v>
      </c>
      <c r="F3" s="2" t="s">
        <v>261</v>
      </c>
      <c r="G3" s="2" t="s">
        <v>19</v>
      </c>
      <c r="H3" s="2" t="s">
        <v>20</v>
      </c>
      <c r="I3" s="2" t="s">
        <v>0</v>
      </c>
      <c r="J3" s="2" t="s">
        <v>21</v>
      </c>
      <c r="K3" s="2" t="s">
        <v>0</v>
      </c>
      <c r="L3" s="2" t="s">
        <v>0</v>
      </c>
    </row>
    <row r="4" spans="1:13">
      <c r="A4" s="2" t="s">
        <v>151</v>
      </c>
      <c r="B4" s="2" t="s">
        <v>152</v>
      </c>
      <c r="C4" s="2" t="s">
        <v>153</v>
      </c>
      <c r="D4" s="2" t="s">
        <v>251</v>
      </c>
      <c r="E4" s="2" t="s">
        <v>283</v>
      </c>
      <c r="F4" s="2" t="s">
        <v>0</v>
      </c>
      <c r="G4" s="2" t="s">
        <v>154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155</v>
      </c>
    </row>
    <row r="5" spans="1:13">
      <c r="A5" s="2" t="s">
        <v>156</v>
      </c>
      <c r="B5" s="2" t="s">
        <v>157</v>
      </c>
      <c r="C5" s="2" t="s">
        <v>158</v>
      </c>
      <c r="D5" s="2" t="s">
        <v>252</v>
      </c>
      <c r="E5" s="2" t="s">
        <v>284</v>
      </c>
      <c r="F5" s="2" t="s">
        <v>0</v>
      </c>
      <c r="G5" s="2" t="s">
        <v>159</v>
      </c>
      <c r="H5" s="2" t="s">
        <v>160</v>
      </c>
      <c r="I5" s="2" t="s">
        <v>0</v>
      </c>
      <c r="J5" s="2" t="s">
        <v>0</v>
      </c>
      <c r="K5" s="2" t="s">
        <v>0</v>
      </c>
      <c r="L5" s="2" t="s">
        <v>161</v>
      </c>
    </row>
    <row r="6" spans="1:13">
      <c r="A6" s="2" t="s">
        <v>124</v>
      </c>
      <c r="B6" s="2" t="s">
        <v>125</v>
      </c>
      <c r="C6" s="2" t="s">
        <v>126</v>
      </c>
      <c r="D6" s="2" t="s">
        <v>244</v>
      </c>
      <c r="E6" s="2" t="s">
        <v>280</v>
      </c>
      <c r="F6" s="2" t="s">
        <v>0</v>
      </c>
      <c r="G6" s="2" t="s">
        <v>127</v>
      </c>
      <c r="H6" s="2" t="s">
        <v>0</v>
      </c>
      <c r="I6" s="2" t="s">
        <v>0</v>
      </c>
      <c r="J6" s="2" t="s">
        <v>0</v>
      </c>
      <c r="K6" s="2" t="s">
        <v>128</v>
      </c>
      <c r="L6" s="2" t="s">
        <v>274</v>
      </c>
    </row>
    <row r="7" spans="1:13">
      <c r="A7" s="2" t="s">
        <v>119</v>
      </c>
      <c r="B7" s="2" t="s">
        <v>120</v>
      </c>
      <c r="C7" s="2" t="s">
        <v>121</v>
      </c>
      <c r="D7" s="2" t="s">
        <v>286</v>
      </c>
      <c r="E7" s="2" t="s">
        <v>279</v>
      </c>
      <c r="F7" s="2" t="s">
        <v>0</v>
      </c>
      <c r="G7" s="2" t="s">
        <v>122</v>
      </c>
      <c r="H7" s="2" t="s">
        <v>0</v>
      </c>
      <c r="I7" s="2" t="s">
        <v>0</v>
      </c>
      <c r="J7" s="2" t="s">
        <v>0</v>
      </c>
      <c r="K7" s="2" t="s">
        <v>123</v>
      </c>
      <c r="L7" s="2" t="s">
        <v>273</v>
      </c>
    </row>
    <row r="8" spans="1:13">
      <c r="A8" s="2" t="s">
        <v>97</v>
      </c>
      <c r="B8" s="2" t="s">
        <v>98</v>
      </c>
      <c r="C8" s="2" t="s">
        <v>99</v>
      </c>
      <c r="D8" s="2" t="s">
        <v>242</v>
      </c>
      <c r="E8" s="2" t="s">
        <v>0</v>
      </c>
      <c r="F8" s="2" t="s">
        <v>0</v>
      </c>
      <c r="G8" s="2" t="s">
        <v>100</v>
      </c>
      <c r="H8" s="2" t="s">
        <v>0</v>
      </c>
      <c r="I8" s="2" t="s">
        <v>101</v>
      </c>
      <c r="J8" s="2" t="s">
        <v>0</v>
      </c>
      <c r="K8" s="2" t="s">
        <v>102</v>
      </c>
      <c r="L8" s="2" t="s">
        <v>269</v>
      </c>
    </row>
    <row r="9" spans="1:13">
      <c r="A9" s="2" t="s">
        <v>103</v>
      </c>
      <c r="B9" s="2" t="s">
        <v>104</v>
      </c>
      <c r="C9" s="2" t="s">
        <v>105</v>
      </c>
      <c r="D9" s="2" t="s">
        <v>243</v>
      </c>
      <c r="E9" s="2" t="s">
        <v>0</v>
      </c>
      <c r="F9" s="2" t="s">
        <v>0</v>
      </c>
      <c r="G9" s="2" t="s">
        <v>106</v>
      </c>
      <c r="H9" s="2" t="s">
        <v>0</v>
      </c>
      <c r="I9" s="2" t="s">
        <v>107</v>
      </c>
      <c r="J9" s="2" t="s">
        <v>0</v>
      </c>
      <c r="K9" s="2" t="s">
        <v>108</v>
      </c>
      <c r="L9" s="2" t="s">
        <v>270</v>
      </c>
    </row>
    <row r="10" spans="1:13">
      <c r="A10" s="2" t="s">
        <v>474</v>
      </c>
      <c r="B10" s="2" t="s">
        <v>293</v>
      </c>
      <c r="C10" s="2" t="s">
        <v>498</v>
      </c>
      <c r="K10" s="2" t="s">
        <v>314</v>
      </c>
      <c r="L10" s="2" t="s">
        <v>476</v>
      </c>
      <c r="M10" s="30" t="s">
        <v>361</v>
      </c>
    </row>
    <row r="11" spans="1:13">
      <c r="A11" s="2" t="s">
        <v>475</v>
      </c>
      <c r="B11" s="2" t="s">
        <v>294</v>
      </c>
      <c r="C11" s="2">
        <v>1.21</v>
      </c>
      <c r="G11" s="2" t="s">
        <v>302</v>
      </c>
      <c r="K11" s="2" t="s">
        <v>313</v>
      </c>
      <c r="L11" s="2" t="s">
        <v>477</v>
      </c>
      <c r="M11" s="30" t="s">
        <v>362</v>
      </c>
    </row>
    <row r="12" spans="1:13">
      <c r="A12" s="2" t="s">
        <v>114</v>
      </c>
      <c r="B12" s="2" t="s">
        <v>115</v>
      </c>
      <c r="C12" s="2" t="s">
        <v>116</v>
      </c>
      <c r="D12" s="2" t="s">
        <v>246</v>
      </c>
      <c r="E12" s="2" t="s">
        <v>281</v>
      </c>
      <c r="F12" s="2" t="s">
        <v>0</v>
      </c>
      <c r="G12" s="2" t="s">
        <v>0</v>
      </c>
      <c r="H12" s="2" t="s">
        <v>0</v>
      </c>
      <c r="I12" s="2" t="s">
        <v>117</v>
      </c>
      <c r="J12" s="2" t="s">
        <v>0</v>
      </c>
      <c r="K12" s="2" t="s">
        <v>118</v>
      </c>
      <c r="L12" s="2" t="s">
        <v>272</v>
      </c>
      <c r="M12" s="30" t="s">
        <v>363</v>
      </c>
    </row>
    <row r="13" spans="1:13">
      <c r="A13" s="2" t="s">
        <v>109</v>
      </c>
      <c r="B13" s="2" t="s">
        <v>110</v>
      </c>
      <c r="C13" s="2" t="s">
        <v>111</v>
      </c>
      <c r="D13" s="2" t="s">
        <v>245</v>
      </c>
      <c r="E13" s="2" t="s">
        <v>282</v>
      </c>
      <c r="F13" s="2" t="s">
        <v>0</v>
      </c>
      <c r="G13" s="2" t="s">
        <v>0</v>
      </c>
      <c r="H13" s="2" t="s">
        <v>0</v>
      </c>
      <c r="I13" s="2" t="s">
        <v>112</v>
      </c>
      <c r="J13" s="2" t="s">
        <v>0</v>
      </c>
      <c r="K13" s="2" t="s">
        <v>113</v>
      </c>
      <c r="L13" s="2" t="s">
        <v>271</v>
      </c>
      <c r="M13" s="30" t="s">
        <v>364</v>
      </c>
    </row>
    <row r="14" spans="1:13">
      <c r="A14" s="2" t="s">
        <v>139</v>
      </c>
      <c r="B14" s="2" t="s">
        <v>140</v>
      </c>
      <c r="C14" s="2" t="s">
        <v>141</v>
      </c>
      <c r="D14" s="2" t="s">
        <v>0</v>
      </c>
      <c r="E14" s="2" t="s">
        <v>0</v>
      </c>
      <c r="F14" s="2" t="s">
        <v>0</v>
      </c>
      <c r="G14" s="2" t="s">
        <v>142</v>
      </c>
      <c r="H14" s="2" t="s">
        <v>83</v>
      </c>
      <c r="I14" s="2" t="s">
        <v>0</v>
      </c>
      <c r="J14" s="2" t="s">
        <v>0</v>
      </c>
      <c r="K14" s="2" t="s">
        <v>143</v>
      </c>
      <c r="L14" s="2" t="s">
        <v>277</v>
      </c>
      <c r="M14" s="30" t="s">
        <v>365</v>
      </c>
    </row>
    <row r="15" spans="1:13">
      <c r="A15" s="2" t="s">
        <v>144</v>
      </c>
      <c r="B15" s="2" t="s">
        <v>145</v>
      </c>
      <c r="C15" s="2" t="s">
        <v>146</v>
      </c>
      <c r="D15" s="2" t="s">
        <v>0</v>
      </c>
      <c r="E15" s="2" t="s">
        <v>0</v>
      </c>
      <c r="F15" s="2" t="s">
        <v>0</v>
      </c>
      <c r="G15" s="2" t="s">
        <v>147</v>
      </c>
      <c r="H15" s="2" t="s">
        <v>95</v>
      </c>
      <c r="I15" s="2" t="s">
        <v>148</v>
      </c>
      <c r="J15" s="2" t="s">
        <v>0</v>
      </c>
      <c r="K15" s="2" t="s">
        <v>149</v>
      </c>
      <c r="L15" s="2" t="s">
        <v>278</v>
      </c>
      <c r="M15" s="30" t="s">
        <v>366</v>
      </c>
    </row>
    <row r="16" spans="1:13">
      <c r="A16" s="2" t="s">
        <v>129</v>
      </c>
      <c r="B16" s="2" t="s">
        <v>130</v>
      </c>
      <c r="C16" s="2" t="s">
        <v>131</v>
      </c>
      <c r="D16" s="2" t="s">
        <v>247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132</v>
      </c>
      <c r="J16" s="2" t="s">
        <v>0</v>
      </c>
      <c r="K16" s="2" t="s">
        <v>133</v>
      </c>
      <c r="L16" s="2" t="s">
        <v>275</v>
      </c>
    </row>
    <row r="17" spans="1:12">
      <c r="A17" s="2" t="s">
        <v>134</v>
      </c>
      <c r="B17" s="2" t="s">
        <v>135</v>
      </c>
      <c r="C17" s="2" t="s">
        <v>136</v>
      </c>
      <c r="D17" s="2" t="s">
        <v>248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137</v>
      </c>
      <c r="J17" s="2" t="s">
        <v>0</v>
      </c>
      <c r="K17" s="2" t="s">
        <v>138</v>
      </c>
      <c r="L17" s="2" t="s">
        <v>276</v>
      </c>
    </row>
    <row r="18" spans="1:12">
      <c r="A18" s="2" t="s">
        <v>472</v>
      </c>
      <c r="B18" s="2" t="s">
        <v>291</v>
      </c>
      <c r="C18" s="2">
        <v>1.28</v>
      </c>
      <c r="F18" s="2" t="s">
        <v>299</v>
      </c>
      <c r="I18" s="2" t="s">
        <v>305</v>
      </c>
      <c r="K18" s="2" t="s">
        <v>315</v>
      </c>
      <c r="L18" s="2" t="s">
        <v>311</v>
      </c>
    </row>
    <row r="19" spans="1:12">
      <c r="A19" s="2" t="s">
        <v>473</v>
      </c>
      <c r="B19" s="2" t="s">
        <v>292</v>
      </c>
      <c r="C19" s="2">
        <v>1.29</v>
      </c>
      <c r="F19" s="2" t="s">
        <v>262</v>
      </c>
      <c r="I19" s="2" t="s">
        <v>306</v>
      </c>
      <c r="K19" s="2" t="s">
        <v>316</v>
      </c>
      <c r="L19" s="2" t="s">
        <v>312</v>
      </c>
    </row>
    <row r="20" spans="1:12">
      <c r="A20" s="2" t="s">
        <v>162</v>
      </c>
      <c r="B20" s="2" t="s">
        <v>163</v>
      </c>
      <c r="C20" s="2" t="s">
        <v>164</v>
      </c>
      <c r="D20" s="2" t="s">
        <v>0</v>
      </c>
      <c r="E20" s="2" t="s">
        <v>0</v>
      </c>
      <c r="F20" s="2" t="s">
        <v>259</v>
      </c>
      <c r="G20" s="2" t="s">
        <v>0</v>
      </c>
      <c r="H20" s="2" t="s">
        <v>0</v>
      </c>
      <c r="I20" s="2" t="s">
        <v>165</v>
      </c>
      <c r="J20" s="2" t="s">
        <v>0</v>
      </c>
      <c r="K20" s="2" t="s">
        <v>208</v>
      </c>
      <c r="L20" s="2" t="s">
        <v>166</v>
      </c>
    </row>
    <row r="21" spans="1:12">
      <c r="A21" s="2" t="s">
        <v>167</v>
      </c>
      <c r="B21" s="2" t="s">
        <v>168</v>
      </c>
      <c r="C21" s="2" t="s">
        <v>169</v>
      </c>
      <c r="D21" s="2" t="s">
        <v>0</v>
      </c>
      <c r="E21" s="2" t="s">
        <v>0</v>
      </c>
      <c r="F21" s="2" t="s">
        <v>260</v>
      </c>
      <c r="G21" s="2" t="s">
        <v>0</v>
      </c>
      <c r="H21" s="2" t="s">
        <v>0</v>
      </c>
      <c r="I21" s="2" t="s">
        <v>170</v>
      </c>
      <c r="J21" s="2" t="s">
        <v>0</v>
      </c>
      <c r="K21" s="2" t="s">
        <v>209</v>
      </c>
      <c r="L21" s="2" t="s">
        <v>171</v>
      </c>
    </row>
    <row r="22" spans="1:12">
      <c r="A22" s="2" t="s">
        <v>73</v>
      </c>
      <c r="B22" s="2" t="s">
        <v>74</v>
      </c>
      <c r="C22" s="2" t="s">
        <v>553</v>
      </c>
      <c r="D22" s="2" t="s">
        <v>0</v>
      </c>
      <c r="E22" s="2" t="s">
        <v>0</v>
      </c>
      <c r="F22" s="2" t="s">
        <v>255</v>
      </c>
      <c r="G22" s="2" t="s">
        <v>76</v>
      </c>
      <c r="H22" s="2" t="s">
        <v>0</v>
      </c>
      <c r="I22" s="2" t="s">
        <v>77</v>
      </c>
      <c r="J22" s="2" t="s">
        <v>0</v>
      </c>
      <c r="K22" s="2" t="s">
        <v>78</v>
      </c>
      <c r="L22" s="2" t="s">
        <v>0</v>
      </c>
    </row>
    <row r="23" spans="1:12">
      <c r="A23" s="2" t="s">
        <v>85</v>
      </c>
      <c r="B23" s="2" t="s">
        <v>86</v>
      </c>
      <c r="C23" s="2" t="s">
        <v>554</v>
      </c>
      <c r="D23" s="2" t="s">
        <v>0</v>
      </c>
      <c r="E23" s="2" t="s">
        <v>0</v>
      </c>
      <c r="F23" s="2" t="s">
        <v>257</v>
      </c>
      <c r="G23" s="2" t="s">
        <v>88</v>
      </c>
      <c r="H23" s="2" t="s">
        <v>0</v>
      </c>
      <c r="I23" s="2" t="s">
        <v>89</v>
      </c>
      <c r="J23" s="2" t="s">
        <v>0</v>
      </c>
      <c r="K23" s="2" t="s">
        <v>90</v>
      </c>
      <c r="L23" s="2" t="s">
        <v>0</v>
      </c>
    </row>
    <row r="24" spans="1:12">
      <c r="A24" s="2" t="s">
        <v>79</v>
      </c>
      <c r="B24" s="2" t="s">
        <v>80</v>
      </c>
      <c r="C24" s="2" t="s">
        <v>555</v>
      </c>
      <c r="D24" s="2" t="s">
        <v>0</v>
      </c>
      <c r="E24" s="2" t="s">
        <v>0</v>
      </c>
      <c r="F24" s="2" t="s">
        <v>256</v>
      </c>
      <c r="G24" s="2" t="s">
        <v>82</v>
      </c>
      <c r="H24" s="2" t="s">
        <v>83</v>
      </c>
      <c r="I24" s="2" t="s">
        <v>0</v>
      </c>
      <c r="J24" s="2" t="s">
        <v>0</v>
      </c>
      <c r="K24" s="2" t="s">
        <v>84</v>
      </c>
      <c r="L24" s="2" t="s">
        <v>0</v>
      </c>
    </row>
    <row r="25" spans="1:12">
      <c r="A25" s="2" t="s">
        <v>91</v>
      </c>
      <c r="B25" s="2" t="s">
        <v>92</v>
      </c>
      <c r="C25" s="2" t="s">
        <v>556</v>
      </c>
      <c r="D25" s="2" t="s">
        <v>0</v>
      </c>
      <c r="E25" s="2" t="s">
        <v>0</v>
      </c>
      <c r="F25" s="2" t="s">
        <v>258</v>
      </c>
      <c r="G25" s="2" t="s">
        <v>94</v>
      </c>
      <c r="H25" s="2" t="s">
        <v>95</v>
      </c>
      <c r="I25" s="2" t="s">
        <v>0</v>
      </c>
      <c r="J25" s="2" t="s">
        <v>0</v>
      </c>
      <c r="K25" s="2" t="s">
        <v>96</v>
      </c>
      <c r="L25" s="2" t="s">
        <v>0</v>
      </c>
    </row>
    <row r="26" spans="1:12">
      <c r="A26" s="2">
        <v>6</v>
      </c>
      <c r="B26" s="2" t="s">
        <v>64</v>
      </c>
      <c r="C26" s="2" t="s">
        <v>65</v>
      </c>
      <c r="D26" s="2" t="s">
        <v>0</v>
      </c>
      <c r="E26" s="2" t="s">
        <v>0</v>
      </c>
      <c r="F26" s="2" t="s">
        <v>0</v>
      </c>
      <c r="G26" s="2" t="s">
        <v>344</v>
      </c>
      <c r="I26" s="2" t="s">
        <v>66</v>
      </c>
      <c r="K26" s="2" t="s">
        <v>67</v>
      </c>
    </row>
    <row r="27" spans="1:12">
      <c r="A27" s="2" t="s">
        <v>68</v>
      </c>
      <c r="B27" s="2" t="s">
        <v>69</v>
      </c>
      <c r="C27" s="2" t="s">
        <v>70</v>
      </c>
      <c r="D27" s="2" t="s">
        <v>0</v>
      </c>
      <c r="E27" s="2" t="s">
        <v>0</v>
      </c>
      <c r="F27" s="2" t="s">
        <v>0</v>
      </c>
      <c r="G27" s="2" t="s">
        <v>503</v>
      </c>
      <c r="I27" s="2" t="s">
        <v>71</v>
      </c>
      <c r="K27" s="2" t="s">
        <v>72</v>
      </c>
    </row>
    <row r="28" spans="1:12">
      <c r="A28" s="2" t="s">
        <v>186</v>
      </c>
      <c r="B28" s="2" t="s">
        <v>187</v>
      </c>
      <c r="C28" s="2" t="s">
        <v>188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189</v>
      </c>
      <c r="J28" s="2" t="s">
        <v>190</v>
      </c>
      <c r="K28" s="2" t="s">
        <v>191</v>
      </c>
      <c r="L28" s="2" t="s">
        <v>0</v>
      </c>
    </row>
    <row r="29" spans="1:12">
      <c r="A29" s="2">
        <v>8</v>
      </c>
      <c r="B29" s="2" t="s">
        <v>59</v>
      </c>
      <c r="C29" s="2" t="s">
        <v>60</v>
      </c>
      <c r="D29" s="2" t="s">
        <v>241</v>
      </c>
      <c r="E29" s="2" t="s">
        <v>0</v>
      </c>
      <c r="F29" s="2" t="s">
        <v>0</v>
      </c>
      <c r="G29" s="2" t="s">
        <v>61</v>
      </c>
      <c r="H29" s="2" t="s">
        <v>0</v>
      </c>
      <c r="I29" s="2" t="s">
        <v>62</v>
      </c>
      <c r="J29" s="2" t="s">
        <v>63</v>
      </c>
      <c r="K29" s="2" t="s">
        <v>232</v>
      </c>
    </row>
    <row r="30" spans="1:12">
      <c r="A30" s="2">
        <v>7</v>
      </c>
      <c r="B30" s="2" t="s">
        <v>54</v>
      </c>
      <c r="C30" s="2" t="s">
        <v>55</v>
      </c>
      <c r="D30" s="2" t="s">
        <v>240</v>
      </c>
      <c r="E30" s="2" t="s">
        <v>0</v>
      </c>
      <c r="F30" s="2" t="s">
        <v>0</v>
      </c>
      <c r="G30" s="2" t="s">
        <v>56</v>
      </c>
      <c r="H30" s="2" t="s">
        <v>0</v>
      </c>
      <c r="I30" s="2" t="s">
        <v>57</v>
      </c>
      <c r="J30" s="2" t="s">
        <v>58</v>
      </c>
      <c r="K30" s="2" t="s">
        <v>233</v>
      </c>
    </row>
    <row r="31" spans="1:12">
      <c r="A31" s="2" t="s">
        <v>317</v>
      </c>
      <c r="B31" s="2" t="s">
        <v>289</v>
      </c>
      <c r="C31" s="2">
        <v>2.1800000000000002</v>
      </c>
      <c r="F31" s="2" t="s">
        <v>297</v>
      </c>
      <c r="G31" s="2" t="s">
        <v>300</v>
      </c>
      <c r="I31" s="2" t="s">
        <v>303</v>
      </c>
      <c r="J31" s="2" t="s">
        <v>27</v>
      </c>
      <c r="K31" s="2" t="s">
        <v>309</v>
      </c>
    </row>
    <row r="32" spans="1:12">
      <c r="A32" s="2" t="s">
        <v>318</v>
      </c>
      <c r="B32" s="2" t="s">
        <v>290</v>
      </c>
      <c r="C32" s="2">
        <v>2.19</v>
      </c>
      <c r="F32" s="2" t="s">
        <v>298</v>
      </c>
      <c r="G32" s="2" t="s">
        <v>301</v>
      </c>
      <c r="I32" s="2" t="s">
        <v>304</v>
      </c>
      <c r="J32" s="2" t="s">
        <v>21</v>
      </c>
      <c r="K32" s="2" t="s">
        <v>310</v>
      </c>
    </row>
    <row r="33" spans="1:13">
      <c r="A33" s="2" t="s">
        <v>211</v>
      </c>
      <c r="B33" s="2" t="s">
        <v>288</v>
      </c>
      <c r="C33" s="2">
        <v>2.2799999999999998</v>
      </c>
      <c r="D33" s="2" t="s">
        <v>296</v>
      </c>
      <c r="K33" s="2" t="s">
        <v>308</v>
      </c>
    </row>
    <row r="34" spans="1:13">
      <c r="A34" s="2" t="s">
        <v>210</v>
      </c>
      <c r="B34" s="2" t="s">
        <v>287</v>
      </c>
      <c r="C34" s="2">
        <v>2.29</v>
      </c>
      <c r="D34" s="2" t="s">
        <v>295</v>
      </c>
      <c r="K34" s="2" t="s">
        <v>307</v>
      </c>
    </row>
    <row r="35" spans="1:13">
      <c r="A35" s="5" t="s">
        <v>350</v>
      </c>
      <c r="B35" s="5" t="s">
        <v>219</v>
      </c>
      <c r="C35" s="5" t="s">
        <v>225</v>
      </c>
      <c r="D35" s="5"/>
      <c r="E35" s="5" t="s">
        <v>282</v>
      </c>
      <c r="F35" s="5" t="s">
        <v>266</v>
      </c>
      <c r="G35" s="5" t="s">
        <v>185</v>
      </c>
      <c r="H35" s="5"/>
      <c r="I35" s="5"/>
      <c r="J35" s="5" t="s">
        <v>231</v>
      </c>
      <c r="K35" s="5"/>
      <c r="L35" s="5"/>
      <c r="M35" s="5" t="s">
        <v>216</v>
      </c>
    </row>
    <row r="36" spans="1:13">
      <c r="A36" s="5" t="s">
        <v>349</v>
      </c>
      <c r="B36" s="5" t="s">
        <v>220</v>
      </c>
      <c r="C36" s="5" t="s">
        <v>226</v>
      </c>
      <c r="D36" s="5"/>
      <c r="E36" s="5" t="s">
        <v>281</v>
      </c>
      <c r="F36" s="5" t="s">
        <v>265</v>
      </c>
      <c r="G36" s="5" t="s">
        <v>183</v>
      </c>
      <c r="H36" s="5"/>
      <c r="I36" s="5"/>
      <c r="J36" s="5" t="s">
        <v>230</v>
      </c>
      <c r="K36" s="5"/>
      <c r="L36" s="5"/>
      <c r="M36" s="5" t="s">
        <v>215</v>
      </c>
    </row>
    <row r="37" spans="1:13">
      <c r="A37" s="5" t="s">
        <v>348</v>
      </c>
      <c r="B37" s="5" t="s">
        <v>221</v>
      </c>
      <c r="C37" s="5" t="s">
        <v>227</v>
      </c>
      <c r="D37" s="5" t="s">
        <v>250</v>
      </c>
      <c r="E37" s="5"/>
      <c r="F37" s="5" t="s">
        <v>264</v>
      </c>
      <c r="G37" s="5" t="s">
        <v>234</v>
      </c>
      <c r="H37" s="5"/>
      <c r="I37" s="5"/>
      <c r="J37" s="5" t="s">
        <v>33</v>
      </c>
      <c r="K37" s="5"/>
      <c r="L37" s="5"/>
      <c r="M37" s="5" t="s">
        <v>214</v>
      </c>
    </row>
    <row r="38" spans="1:13">
      <c r="A38" s="5" t="s">
        <v>347</v>
      </c>
      <c r="B38" s="5" t="s">
        <v>222</v>
      </c>
      <c r="C38" s="5" t="s">
        <v>570</v>
      </c>
      <c r="D38" s="5" t="s">
        <v>249</v>
      </c>
      <c r="E38" s="5"/>
      <c r="F38" s="5" t="s">
        <v>263</v>
      </c>
      <c r="G38" s="5" t="s">
        <v>235</v>
      </c>
      <c r="H38" s="5"/>
      <c r="I38" s="5"/>
      <c r="J38" s="5" t="s">
        <v>40</v>
      </c>
      <c r="K38" s="5"/>
      <c r="L38" s="5"/>
      <c r="M38" s="5" t="s">
        <v>213</v>
      </c>
    </row>
    <row r="39" spans="1:13">
      <c r="A39" s="5" t="s">
        <v>352</v>
      </c>
      <c r="B39" s="5" t="s">
        <v>223</v>
      </c>
      <c r="C39" s="5" t="s">
        <v>228</v>
      </c>
      <c r="D39" s="5" t="s">
        <v>247</v>
      </c>
      <c r="E39" s="5"/>
      <c r="F39" s="5" t="s">
        <v>375</v>
      </c>
      <c r="G39" s="5" t="s">
        <v>236</v>
      </c>
      <c r="H39" s="5"/>
      <c r="I39" s="5"/>
      <c r="J39" s="5" t="s">
        <v>47</v>
      </c>
      <c r="K39" s="5"/>
      <c r="L39" s="5"/>
      <c r="M39" s="5" t="s">
        <v>218</v>
      </c>
    </row>
    <row r="40" spans="1:13">
      <c r="A40" s="5" t="s">
        <v>351</v>
      </c>
      <c r="B40" s="5" t="s">
        <v>224</v>
      </c>
      <c r="C40" s="5" t="s">
        <v>229</v>
      </c>
      <c r="D40" s="5" t="s">
        <v>248</v>
      </c>
      <c r="E40" s="5"/>
      <c r="F40" s="5" t="s">
        <v>374</v>
      </c>
      <c r="G40" s="5" t="s">
        <v>237</v>
      </c>
      <c r="H40" s="5"/>
      <c r="I40" s="5"/>
      <c r="J40" s="5" t="s">
        <v>52</v>
      </c>
      <c r="K40" s="5"/>
      <c r="L40" s="5"/>
      <c r="M40" s="5" t="s">
        <v>217</v>
      </c>
    </row>
    <row r="41" spans="1:13">
      <c r="A41" s="2" t="s">
        <v>172</v>
      </c>
      <c r="B41" s="2" t="s">
        <v>173</v>
      </c>
      <c r="C41" s="2" t="s">
        <v>174</v>
      </c>
      <c r="D41" s="2" t="s">
        <v>253</v>
      </c>
      <c r="E41" s="2" t="s">
        <v>0</v>
      </c>
      <c r="F41" s="2" t="s">
        <v>0</v>
      </c>
      <c r="G41" s="2" t="s">
        <v>175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</row>
    <row r="42" spans="1:13">
      <c r="A42" s="2" t="s">
        <v>184</v>
      </c>
      <c r="B42" s="2" t="s">
        <v>202</v>
      </c>
      <c r="C42" s="2">
        <v>3.22</v>
      </c>
      <c r="E42" s="2" t="s">
        <v>0</v>
      </c>
      <c r="F42" s="2" t="s">
        <v>0</v>
      </c>
      <c r="G42" s="2" t="s">
        <v>203</v>
      </c>
      <c r="H42" s="2" t="s">
        <v>204</v>
      </c>
      <c r="I42" s="2" t="s">
        <v>205</v>
      </c>
      <c r="J42" s="2" t="s">
        <v>206</v>
      </c>
      <c r="K42" s="2" t="s">
        <v>0</v>
      </c>
      <c r="L42" s="2" t="s">
        <v>0</v>
      </c>
    </row>
    <row r="43" spans="1:13">
      <c r="A43" s="2" t="s">
        <v>180</v>
      </c>
      <c r="B43" s="2" t="s">
        <v>198</v>
      </c>
      <c r="C43" s="2">
        <v>3.23</v>
      </c>
      <c r="E43" s="2" t="s">
        <v>0</v>
      </c>
      <c r="F43" s="2" t="s">
        <v>0</v>
      </c>
      <c r="G43" s="2" t="s">
        <v>199</v>
      </c>
      <c r="H43" s="2" t="s">
        <v>200</v>
      </c>
      <c r="I43" s="2" t="s">
        <v>201</v>
      </c>
      <c r="J43" s="2" t="s">
        <v>207</v>
      </c>
      <c r="K43" s="2" t="s">
        <v>0</v>
      </c>
      <c r="L43" s="2" t="s">
        <v>0</v>
      </c>
    </row>
    <row r="44" spans="1:13">
      <c r="A44" s="2" t="s">
        <v>28</v>
      </c>
      <c r="B44" s="2" t="s">
        <v>29</v>
      </c>
      <c r="C44" s="2" t="s">
        <v>557</v>
      </c>
      <c r="D44" s="2" t="s">
        <v>0</v>
      </c>
      <c r="E44" s="2" t="s">
        <v>0</v>
      </c>
      <c r="F44" s="2" t="s">
        <v>0</v>
      </c>
      <c r="G44" s="2" t="s">
        <v>31</v>
      </c>
      <c r="H44" s="2" t="s">
        <v>0</v>
      </c>
      <c r="I44" s="2" t="s">
        <v>32</v>
      </c>
      <c r="J44" s="2" t="s">
        <v>33</v>
      </c>
      <c r="K44" s="2" t="s">
        <v>34</v>
      </c>
      <c r="L44" s="2" t="s">
        <v>0</v>
      </c>
    </row>
    <row r="45" spans="1:13" s="159" customFormat="1">
      <c r="A45" s="2" t="s">
        <v>35</v>
      </c>
      <c r="B45" s="2" t="s">
        <v>36</v>
      </c>
      <c r="C45" s="2" t="s">
        <v>558</v>
      </c>
      <c r="D45" s="2" t="s">
        <v>0</v>
      </c>
      <c r="E45" s="2" t="s">
        <v>0</v>
      </c>
      <c r="F45" s="2" t="s">
        <v>0</v>
      </c>
      <c r="G45" s="2" t="s">
        <v>38</v>
      </c>
      <c r="H45" s="2" t="s">
        <v>0</v>
      </c>
      <c r="I45" s="2" t="s">
        <v>39</v>
      </c>
      <c r="J45" s="2" t="s">
        <v>40</v>
      </c>
      <c r="K45" s="2" t="s">
        <v>41</v>
      </c>
      <c r="L45" s="2" t="s">
        <v>0</v>
      </c>
      <c r="M45" s="2"/>
    </row>
    <row r="46" spans="1:13" s="159" customFormat="1">
      <c r="A46" s="2" t="s">
        <v>42</v>
      </c>
      <c r="B46" s="2" t="s">
        <v>43</v>
      </c>
      <c r="C46" s="2" t="s">
        <v>559</v>
      </c>
      <c r="D46" s="2" t="s">
        <v>0</v>
      </c>
      <c r="E46" s="2" t="s">
        <v>0</v>
      </c>
      <c r="F46" s="2" t="s">
        <v>0</v>
      </c>
      <c r="G46" s="2" t="s">
        <v>45</v>
      </c>
      <c r="H46" s="2" t="s">
        <v>0</v>
      </c>
      <c r="I46" s="2" t="s">
        <v>46</v>
      </c>
      <c r="J46" s="2" t="s">
        <v>47</v>
      </c>
      <c r="K46" s="2" t="s">
        <v>48</v>
      </c>
      <c r="L46" s="2" t="s">
        <v>0</v>
      </c>
      <c r="M46" s="2"/>
    </row>
    <row r="47" spans="1:13" s="159" customFormat="1">
      <c r="A47" s="2" t="s">
        <v>192</v>
      </c>
      <c r="B47" s="2" t="s">
        <v>49</v>
      </c>
      <c r="C47" s="2" t="s">
        <v>561</v>
      </c>
      <c r="D47" s="2" t="s">
        <v>0</v>
      </c>
      <c r="E47" s="2" t="s">
        <v>0</v>
      </c>
      <c r="F47" s="2" t="s">
        <v>0</v>
      </c>
      <c r="G47" s="2" t="s">
        <v>50</v>
      </c>
      <c r="H47" s="2" t="s">
        <v>0</v>
      </c>
      <c r="I47" s="2" t="s">
        <v>51</v>
      </c>
      <c r="J47" s="2" t="s">
        <v>52</v>
      </c>
      <c r="K47" s="2" t="s">
        <v>53</v>
      </c>
      <c r="L47" s="2" t="s">
        <v>0</v>
      </c>
      <c r="M47" s="2"/>
    </row>
    <row r="48" spans="1:13" s="159" customFormat="1">
      <c r="A48" s="2">
        <v>5</v>
      </c>
      <c r="B48" s="2" t="s">
        <v>193</v>
      </c>
      <c r="C48" s="2" t="s">
        <v>560</v>
      </c>
      <c r="D48" s="2" t="s">
        <v>0</v>
      </c>
      <c r="E48" s="2" t="s">
        <v>0</v>
      </c>
      <c r="F48" s="2" t="s">
        <v>0</v>
      </c>
      <c r="G48" s="2" t="s">
        <v>195</v>
      </c>
      <c r="H48" s="2" t="s">
        <v>0</v>
      </c>
      <c r="I48" s="2" t="s">
        <v>196</v>
      </c>
      <c r="J48" s="2" t="s">
        <v>21</v>
      </c>
      <c r="K48" s="2" t="s">
        <v>197</v>
      </c>
      <c r="L48" s="2" t="s">
        <v>0</v>
      </c>
      <c r="M48" s="2"/>
    </row>
    <row r="49" spans="1:13" s="159" customFormat="1">
      <c r="A49" s="3" t="s">
        <v>357</v>
      </c>
      <c r="B49" s="3" t="s">
        <v>320</v>
      </c>
      <c r="C49" s="3" t="s">
        <v>562</v>
      </c>
      <c r="D49" s="3"/>
      <c r="E49" s="3" t="s">
        <v>282</v>
      </c>
      <c r="F49" s="3" t="s">
        <v>367</v>
      </c>
      <c r="G49" s="3" t="s">
        <v>345</v>
      </c>
      <c r="H49" s="3"/>
      <c r="I49" s="3"/>
      <c r="J49" s="3"/>
      <c r="K49" s="3"/>
      <c r="L49" s="3"/>
      <c r="M49" s="3"/>
    </row>
    <row r="50" spans="1:13" s="159" customFormat="1">
      <c r="A50" s="3" t="s">
        <v>353</v>
      </c>
      <c r="B50" s="3" t="s">
        <v>181</v>
      </c>
      <c r="C50" s="3" t="s">
        <v>182</v>
      </c>
      <c r="D50" s="3" t="s">
        <v>333</v>
      </c>
      <c r="E50" s="3"/>
      <c r="F50" s="3" t="s">
        <v>368</v>
      </c>
      <c r="G50" s="3" t="s">
        <v>183</v>
      </c>
      <c r="H50" s="3"/>
      <c r="I50" s="3"/>
      <c r="J50" s="3"/>
      <c r="K50" s="3"/>
      <c r="L50" s="3"/>
      <c r="M50" s="3"/>
    </row>
    <row r="51" spans="1:13" s="1" customFormat="1">
      <c r="A51" s="3" t="s">
        <v>359</v>
      </c>
      <c r="B51" s="3" t="s">
        <v>321</v>
      </c>
      <c r="C51" s="3" t="s">
        <v>563</v>
      </c>
      <c r="D51" s="3" t="s">
        <v>336</v>
      </c>
      <c r="E51" s="3"/>
      <c r="F51" s="3" t="s">
        <v>369</v>
      </c>
      <c r="G51" s="3" t="s">
        <v>234</v>
      </c>
      <c r="H51" s="3"/>
      <c r="I51" s="3"/>
      <c r="J51" s="3"/>
      <c r="K51" s="3"/>
      <c r="L51" s="3"/>
      <c r="M51" s="3"/>
    </row>
    <row r="52" spans="1:13" s="1" customFormat="1">
      <c r="A52" s="3" t="s">
        <v>358</v>
      </c>
      <c r="B52" s="3" t="s">
        <v>322</v>
      </c>
      <c r="C52" s="3" t="s">
        <v>564</v>
      </c>
      <c r="D52" s="3" t="s">
        <v>337</v>
      </c>
      <c r="E52" s="3"/>
      <c r="F52" s="3" t="s">
        <v>370</v>
      </c>
      <c r="G52" s="3" t="s">
        <v>235</v>
      </c>
      <c r="H52" s="3"/>
      <c r="I52" s="3"/>
      <c r="J52" s="3"/>
      <c r="K52" s="3" t="s">
        <v>339</v>
      </c>
      <c r="L52" s="3"/>
      <c r="M52" s="3"/>
    </row>
    <row r="53" spans="1:13" s="1" customFormat="1">
      <c r="A53" s="3" t="s">
        <v>355</v>
      </c>
      <c r="B53" s="3" t="s">
        <v>323</v>
      </c>
      <c r="C53" s="3" t="s">
        <v>565</v>
      </c>
      <c r="D53" s="3" t="s">
        <v>335</v>
      </c>
      <c r="E53" s="3"/>
      <c r="F53" s="3" t="s">
        <v>371</v>
      </c>
      <c r="G53" s="3" t="s">
        <v>236</v>
      </c>
      <c r="H53" s="3"/>
      <c r="I53" s="3"/>
      <c r="J53" s="3"/>
      <c r="K53" s="3" t="s">
        <v>340</v>
      </c>
      <c r="L53" s="3"/>
      <c r="M53" s="3"/>
    </row>
    <row r="54" spans="1:13" s="1" customFormat="1">
      <c r="A54" s="3" t="s">
        <v>356</v>
      </c>
      <c r="B54" s="3" t="s">
        <v>324</v>
      </c>
      <c r="C54" s="3" t="s">
        <v>566</v>
      </c>
      <c r="D54" s="3" t="s">
        <v>334</v>
      </c>
      <c r="E54" s="3"/>
      <c r="F54" s="3" t="s">
        <v>372</v>
      </c>
      <c r="G54" s="3" t="s">
        <v>237</v>
      </c>
      <c r="H54" s="3"/>
      <c r="I54" s="3"/>
      <c r="J54" s="3"/>
      <c r="K54" s="3" t="s">
        <v>341</v>
      </c>
      <c r="L54" s="3"/>
      <c r="M54" s="3"/>
    </row>
    <row r="55" spans="1:13" s="1" customFormat="1">
      <c r="A55" s="3" t="s">
        <v>360</v>
      </c>
      <c r="B55" s="3" t="s">
        <v>325</v>
      </c>
      <c r="C55" s="3" t="s">
        <v>567</v>
      </c>
      <c r="D55" s="3" t="s">
        <v>338</v>
      </c>
      <c r="E55" s="3"/>
      <c r="F55" s="3" t="s">
        <v>373</v>
      </c>
      <c r="G55" s="3" t="s">
        <v>343</v>
      </c>
      <c r="H55" s="3"/>
      <c r="I55" s="3"/>
      <c r="J55" s="3"/>
      <c r="K55" s="3" t="s">
        <v>342</v>
      </c>
      <c r="L55" s="3"/>
      <c r="M55" s="3"/>
    </row>
    <row r="56" spans="1:13" s="1" customFormat="1">
      <c r="A56" s="2" t="s">
        <v>176</v>
      </c>
      <c r="B56" s="2" t="s">
        <v>177</v>
      </c>
      <c r="C56" s="2" t="s">
        <v>178</v>
      </c>
      <c r="D56" s="2" t="s">
        <v>254</v>
      </c>
      <c r="E56" s="2" t="s">
        <v>0</v>
      </c>
      <c r="F56" s="2" t="s">
        <v>285</v>
      </c>
      <c r="G56" s="2" t="s">
        <v>179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/>
    </row>
    <row r="57" spans="1:13" s="1" customFormat="1">
      <c r="A57" s="2" t="s">
        <v>13</v>
      </c>
      <c r="B57" s="2" t="s">
        <v>14</v>
      </c>
      <c r="C57" s="2" t="s">
        <v>14</v>
      </c>
      <c r="D57" s="2" t="s">
        <v>15</v>
      </c>
      <c r="E57" s="2" t="s">
        <v>13</v>
      </c>
      <c r="F57" s="2" t="s">
        <v>13</v>
      </c>
      <c r="G57" s="2" t="s">
        <v>13</v>
      </c>
      <c r="H57" s="2" t="s">
        <v>13</v>
      </c>
      <c r="I57" s="2" t="s">
        <v>14</v>
      </c>
      <c r="J57" s="2" t="s">
        <v>14</v>
      </c>
      <c r="K57" s="2" t="s">
        <v>150</v>
      </c>
      <c r="L57" s="2" t="s">
        <v>15</v>
      </c>
      <c r="M57" s="2"/>
    </row>
  </sheetData>
  <pageMargins left="0.7" right="0.7" top="0.75" bottom="0.75" header="0.3" footer="0.3"/>
  <pageSetup scale="69" fitToHeight="0" orientation="landscape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382E-0C83-4AA1-A09A-F99110E70DA1}">
  <sheetPr>
    <pageSetUpPr fitToPage="1"/>
  </sheetPr>
  <dimension ref="A1:AD42"/>
  <sheetViews>
    <sheetView workbookViewId="0">
      <selection activeCell="C25" sqref="C25"/>
    </sheetView>
  </sheetViews>
  <sheetFormatPr defaultRowHeight="15"/>
  <cols>
    <col min="1" max="1" width="3.140625" bestFit="1" customWidth="1"/>
    <col min="2" max="2" width="8.7109375" bestFit="1" customWidth="1"/>
    <col min="3" max="3" width="8.42578125" bestFit="1" customWidth="1"/>
    <col min="4" max="4" width="4.42578125" style="2" bestFit="1" customWidth="1"/>
    <col min="5" max="5" width="4.7109375" bestFit="1" customWidth="1"/>
    <col min="6" max="6" width="7.85546875" bestFit="1" customWidth="1"/>
    <col min="7" max="7" width="3" bestFit="1" customWidth="1"/>
    <col min="8" max="8" width="5" bestFit="1" customWidth="1"/>
    <col min="9" max="9" width="3.85546875" bestFit="1" customWidth="1"/>
    <col min="10" max="10" width="5.42578125" bestFit="1" customWidth="1"/>
    <col min="11" max="11" width="4.7109375" bestFit="1" customWidth="1"/>
    <col min="12" max="12" width="5.28515625" bestFit="1" customWidth="1"/>
    <col min="13" max="13" width="7.5703125" bestFit="1" customWidth="1"/>
    <col min="14" max="14" width="3.42578125" bestFit="1" customWidth="1"/>
    <col min="16" max="16" width="13" customWidth="1"/>
    <col min="17" max="17" width="3.42578125" bestFit="1" customWidth="1"/>
    <col min="18" max="18" width="7" bestFit="1" customWidth="1"/>
    <col min="19" max="19" width="5.28515625" bestFit="1" customWidth="1"/>
    <col min="20" max="20" width="4.7109375" bestFit="1" customWidth="1"/>
    <col min="21" max="21" width="5.42578125" bestFit="1" customWidth="1"/>
    <col min="22" max="22" width="3.85546875" bestFit="1" customWidth="1"/>
    <col min="23" max="23" width="5" bestFit="1" customWidth="1"/>
    <col min="24" max="24" width="3" bestFit="1" customWidth="1"/>
    <col min="25" max="25" width="8.7109375" customWidth="1"/>
    <col min="26" max="26" width="5.140625" bestFit="1" customWidth="1"/>
    <col min="27" max="27" width="4.7109375" style="2" bestFit="1" customWidth="1"/>
    <col min="28" max="28" width="8.42578125" bestFit="1" customWidth="1"/>
    <col min="29" max="29" width="11.85546875" bestFit="1" customWidth="1"/>
    <col min="30" max="30" width="3.5703125" bestFit="1" customWidth="1"/>
  </cols>
  <sheetData>
    <row r="1" spans="1:30" ht="30.75">
      <c r="A1" s="31" t="s">
        <v>9</v>
      </c>
      <c r="B1" s="31" t="s">
        <v>376</v>
      </c>
      <c r="C1" s="32" t="s">
        <v>377</v>
      </c>
      <c r="D1" s="90" t="s">
        <v>3</v>
      </c>
      <c r="E1" s="64" t="s">
        <v>9</v>
      </c>
      <c r="F1" s="33" t="s">
        <v>11</v>
      </c>
      <c r="G1" s="61" t="s">
        <v>454</v>
      </c>
      <c r="H1" s="58" t="s">
        <v>5</v>
      </c>
      <c r="I1" s="34" t="s">
        <v>8</v>
      </c>
      <c r="J1" s="35" t="s">
        <v>6</v>
      </c>
      <c r="K1" s="36" t="s">
        <v>4</v>
      </c>
      <c r="L1" s="37" t="s">
        <v>12</v>
      </c>
      <c r="M1" s="38" t="s">
        <v>7</v>
      </c>
      <c r="N1" s="39" t="s">
        <v>378</v>
      </c>
      <c r="O1" s="32"/>
      <c r="P1" s="32"/>
      <c r="Q1" s="39" t="s">
        <v>378</v>
      </c>
      <c r="R1" s="38" t="s">
        <v>7</v>
      </c>
      <c r="S1" s="37" t="s">
        <v>12</v>
      </c>
      <c r="T1" s="36" t="s">
        <v>4</v>
      </c>
      <c r="U1" s="35" t="s">
        <v>6</v>
      </c>
      <c r="V1" s="34" t="s">
        <v>8</v>
      </c>
      <c r="W1" s="58" t="s">
        <v>5</v>
      </c>
      <c r="X1" s="62" t="s">
        <v>454</v>
      </c>
      <c r="Y1" s="33" t="s">
        <v>11</v>
      </c>
      <c r="Z1" s="64" t="s">
        <v>9</v>
      </c>
      <c r="AA1" s="90" t="s">
        <v>3</v>
      </c>
      <c r="AB1" s="32" t="s">
        <v>377</v>
      </c>
      <c r="AC1" s="31" t="s">
        <v>376</v>
      </c>
      <c r="AD1" s="31" t="s">
        <v>9</v>
      </c>
    </row>
    <row r="2" spans="1:30">
      <c r="A2" s="40" t="s">
        <v>442</v>
      </c>
      <c r="B2" s="40" t="s">
        <v>379</v>
      </c>
      <c r="C2" s="40"/>
      <c r="D2" s="95"/>
      <c r="E2" s="40"/>
      <c r="F2" s="40"/>
      <c r="H2" s="40"/>
      <c r="I2" s="40"/>
      <c r="J2" s="40"/>
      <c r="K2" s="40"/>
      <c r="L2" s="197" t="s">
        <v>379</v>
      </c>
      <c r="M2" s="197"/>
      <c r="N2" s="197"/>
      <c r="O2" s="41"/>
      <c r="P2" s="41"/>
      <c r="Q2" s="198" t="s">
        <v>380</v>
      </c>
      <c r="R2" s="198"/>
      <c r="S2" s="198"/>
      <c r="T2" s="198"/>
      <c r="U2" s="40"/>
      <c r="V2" s="40"/>
      <c r="W2" s="40"/>
      <c r="X2" s="40"/>
      <c r="Y2" s="40"/>
      <c r="Z2" s="40"/>
      <c r="AA2" s="91"/>
      <c r="AB2" s="40"/>
      <c r="AC2" s="40" t="s">
        <v>443</v>
      </c>
      <c r="AD2" s="40"/>
    </row>
    <row r="3" spans="1:30">
      <c r="A3" s="40"/>
      <c r="B3" s="40"/>
      <c r="C3" s="40" t="s">
        <v>17</v>
      </c>
      <c r="D3" s="91" t="s">
        <v>18</v>
      </c>
      <c r="E3" s="40"/>
      <c r="F3" s="40"/>
      <c r="G3" s="60">
        <v>17</v>
      </c>
      <c r="H3" s="40"/>
      <c r="I3" s="57" t="s">
        <v>399</v>
      </c>
      <c r="J3" s="42" t="s">
        <v>410</v>
      </c>
      <c r="K3" s="43" t="s">
        <v>381</v>
      </c>
      <c r="L3" s="40"/>
      <c r="M3" s="121" t="s">
        <v>504</v>
      </c>
      <c r="N3" s="44">
        <v>0</v>
      </c>
      <c r="O3" s="41"/>
      <c r="P3" s="41"/>
      <c r="Q3" s="198" t="s">
        <v>379</v>
      </c>
      <c r="R3" s="198"/>
      <c r="S3" s="198"/>
      <c r="T3" s="198"/>
      <c r="U3" s="40"/>
      <c r="V3" s="40"/>
      <c r="W3" s="40"/>
      <c r="X3" s="40"/>
      <c r="Y3" s="40"/>
      <c r="Z3" s="40"/>
      <c r="AA3" s="91"/>
      <c r="AB3" s="40"/>
      <c r="AC3" s="40" t="s">
        <v>442</v>
      </c>
      <c r="AD3" s="40" t="s">
        <v>442</v>
      </c>
    </row>
    <row r="4" spans="1:30">
      <c r="A4" s="40"/>
      <c r="B4" s="40"/>
      <c r="C4" s="40" t="s">
        <v>23</v>
      </c>
      <c r="D4" s="91" t="s">
        <v>24</v>
      </c>
      <c r="E4" s="40"/>
      <c r="F4" s="40"/>
      <c r="G4" s="60">
        <v>16</v>
      </c>
      <c r="H4" s="40"/>
      <c r="I4" s="57" t="s">
        <v>401</v>
      </c>
      <c r="J4" s="42" t="s">
        <v>433</v>
      </c>
      <c r="K4" s="43" t="s">
        <v>382</v>
      </c>
      <c r="L4" s="40"/>
      <c r="M4" s="121" t="s">
        <v>505</v>
      </c>
      <c r="N4" s="44">
        <v>1</v>
      </c>
      <c r="O4" s="41"/>
      <c r="P4" s="41"/>
      <c r="Q4" s="198" t="s">
        <v>383</v>
      </c>
      <c r="R4" s="198"/>
      <c r="S4" s="198"/>
      <c r="T4" s="198"/>
      <c r="U4" s="40"/>
      <c r="V4" s="40"/>
      <c r="W4" s="40"/>
      <c r="X4" s="40"/>
      <c r="Y4" s="40"/>
      <c r="Z4" s="40"/>
      <c r="AA4" s="91"/>
      <c r="AB4" s="40"/>
      <c r="AC4" s="40" t="s">
        <v>444</v>
      </c>
      <c r="AD4" s="40">
        <v>3.3</v>
      </c>
    </row>
    <row r="5" spans="1:30">
      <c r="A5" s="40"/>
      <c r="B5" s="40" t="s">
        <v>449</v>
      </c>
      <c r="C5" s="40" t="s">
        <v>29</v>
      </c>
      <c r="D5" s="91" t="s">
        <v>30</v>
      </c>
      <c r="E5" s="63" t="s">
        <v>455</v>
      </c>
      <c r="F5" s="55" t="s">
        <v>34</v>
      </c>
      <c r="G5" s="60">
        <v>6</v>
      </c>
      <c r="H5" s="40"/>
      <c r="I5" s="40"/>
      <c r="J5" s="40"/>
      <c r="K5" s="40"/>
      <c r="L5" s="40"/>
      <c r="M5" s="45" t="s">
        <v>506</v>
      </c>
      <c r="N5" s="44">
        <v>2</v>
      </c>
      <c r="O5" s="41"/>
      <c r="P5" s="41"/>
      <c r="Q5" s="46">
        <v>23</v>
      </c>
      <c r="R5" s="45" t="s">
        <v>524</v>
      </c>
      <c r="S5" s="47" t="s">
        <v>384</v>
      </c>
      <c r="T5" s="40"/>
      <c r="U5" s="40"/>
      <c r="V5" s="57" t="s">
        <v>381</v>
      </c>
      <c r="W5" s="40"/>
      <c r="X5" s="40"/>
      <c r="Y5" s="55" t="s">
        <v>149</v>
      </c>
      <c r="Z5" s="65" t="s">
        <v>463</v>
      </c>
      <c r="AA5" s="91">
        <v>1.25</v>
      </c>
      <c r="AB5" s="40" t="s">
        <v>145</v>
      </c>
      <c r="AC5" s="163" t="s">
        <v>569</v>
      </c>
      <c r="AD5" s="40" t="s">
        <v>441</v>
      </c>
    </row>
    <row r="6" spans="1:30">
      <c r="A6" s="40" t="s">
        <v>447</v>
      </c>
      <c r="B6" s="40"/>
      <c r="C6" s="40" t="s">
        <v>36</v>
      </c>
      <c r="D6" s="92" t="s">
        <v>37</v>
      </c>
      <c r="E6" s="65" t="s">
        <v>456</v>
      </c>
      <c r="F6" s="55" t="s">
        <v>41</v>
      </c>
      <c r="G6" s="60">
        <v>7</v>
      </c>
      <c r="H6" s="40"/>
      <c r="I6" s="40"/>
      <c r="J6" s="40"/>
      <c r="K6" s="40"/>
      <c r="L6" s="40"/>
      <c r="M6" s="45" t="s">
        <v>507</v>
      </c>
      <c r="N6" s="44">
        <v>3</v>
      </c>
      <c r="O6" s="41"/>
      <c r="P6" s="41"/>
      <c r="Q6" s="46">
        <v>22</v>
      </c>
      <c r="R6" s="45" t="s">
        <v>525</v>
      </c>
      <c r="S6" s="47" t="s">
        <v>386</v>
      </c>
      <c r="T6" s="40"/>
      <c r="U6" s="40"/>
      <c r="V6" s="57" t="s">
        <v>382</v>
      </c>
      <c r="W6" s="40"/>
      <c r="X6" s="40"/>
      <c r="Y6" s="56">
        <v>0.13055555555555556</v>
      </c>
      <c r="Z6" s="40"/>
      <c r="AA6" s="91">
        <v>1.24</v>
      </c>
      <c r="AB6" s="40" t="s">
        <v>140</v>
      </c>
      <c r="AC6" s="163" t="s">
        <v>568</v>
      </c>
      <c r="AD6" s="40"/>
    </row>
    <row r="7" spans="1:30">
      <c r="A7" s="40" t="s">
        <v>441</v>
      </c>
      <c r="B7" s="40"/>
      <c r="C7" s="40" t="s">
        <v>43</v>
      </c>
      <c r="D7" s="92" t="s">
        <v>44</v>
      </c>
      <c r="E7" s="65" t="s">
        <v>457</v>
      </c>
      <c r="F7" s="55" t="s">
        <v>48</v>
      </c>
      <c r="G7" s="60">
        <v>8</v>
      </c>
      <c r="H7" s="40"/>
      <c r="I7" s="40"/>
      <c r="J7" s="40"/>
      <c r="K7" s="40"/>
      <c r="L7" s="40"/>
      <c r="M7" s="45" t="s">
        <v>508</v>
      </c>
      <c r="N7" s="44">
        <v>4</v>
      </c>
      <c r="O7" s="41"/>
      <c r="P7" s="41"/>
      <c r="Q7" s="46">
        <v>21</v>
      </c>
      <c r="S7" s="47" t="s">
        <v>388</v>
      </c>
      <c r="T7" s="43" t="s">
        <v>412</v>
      </c>
      <c r="U7" s="40"/>
      <c r="V7" s="40"/>
      <c r="W7" s="40"/>
      <c r="X7" s="40"/>
      <c r="Y7" s="56">
        <v>0.13263888888888889</v>
      </c>
      <c r="Z7" s="63" t="s">
        <v>464</v>
      </c>
      <c r="AA7" s="91">
        <v>1.27</v>
      </c>
      <c r="AB7" s="40" t="s">
        <v>135</v>
      </c>
      <c r="AC7" s="163" t="s">
        <v>545</v>
      </c>
      <c r="AD7" s="40" t="s">
        <v>441</v>
      </c>
    </row>
    <row r="8" spans="1:30">
      <c r="A8" s="40" t="s">
        <v>441</v>
      </c>
      <c r="B8" s="40" t="s">
        <v>450</v>
      </c>
      <c r="C8" s="40" t="s">
        <v>193</v>
      </c>
      <c r="D8" s="91" t="s">
        <v>194</v>
      </c>
      <c r="E8" s="63" t="s">
        <v>458</v>
      </c>
      <c r="F8" s="55" t="s">
        <v>197</v>
      </c>
      <c r="G8" s="60">
        <v>17</v>
      </c>
      <c r="H8" s="40"/>
      <c r="I8" s="40"/>
      <c r="J8" s="40"/>
      <c r="K8" s="50"/>
      <c r="L8" s="40"/>
      <c r="M8" s="45" t="s">
        <v>509</v>
      </c>
      <c r="N8" s="44">
        <v>5</v>
      </c>
      <c r="O8" s="41"/>
      <c r="P8" s="41"/>
      <c r="Q8" s="46">
        <v>20</v>
      </c>
      <c r="S8" s="47" t="s">
        <v>390</v>
      </c>
      <c r="T8" s="51" t="s">
        <v>415</v>
      </c>
      <c r="U8" s="40"/>
      <c r="V8" s="40"/>
      <c r="W8" s="40"/>
      <c r="X8" s="40"/>
      <c r="Y8" s="56">
        <v>0.13194444444444445</v>
      </c>
      <c r="Z8" s="63" t="s">
        <v>465</v>
      </c>
      <c r="AA8" s="91">
        <v>1.26</v>
      </c>
      <c r="AB8" s="40" t="s">
        <v>130</v>
      </c>
      <c r="AC8" s="163" t="s">
        <v>546</v>
      </c>
      <c r="AD8" s="40" t="s">
        <v>441</v>
      </c>
    </row>
    <row r="9" spans="1:30">
      <c r="A9" s="40"/>
      <c r="B9" s="40" t="s">
        <v>451</v>
      </c>
      <c r="C9" s="40" t="s">
        <v>64</v>
      </c>
      <c r="D9" s="91" t="s">
        <v>65</v>
      </c>
      <c r="E9" s="63" t="s">
        <v>459</v>
      </c>
      <c r="F9" s="55" t="s">
        <v>67</v>
      </c>
      <c r="G9" s="40"/>
      <c r="H9" s="40"/>
      <c r="I9" s="40"/>
      <c r="J9" s="40"/>
      <c r="K9" s="40"/>
      <c r="L9" s="40"/>
      <c r="M9" s="45" t="s">
        <v>510</v>
      </c>
      <c r="N9" s="44">
        <v>6</v>
      </c>
      <c r="O9" s="41"/>
      <c r="P9" s="41"/>
      <c r="Q9" s="46">
        <v>19</v>
      </c>
      <c r="R9" s="45" t="s">
        <v>527</v>
      </c>
      <c r="S9" s="47" t="s">
        <v>391</v>
      </c>
      <c r="T9" s="51" t="s">
        <v>483</v>
      </c>
      <c r="U9" s="40"/>
      <c r="V9" s="40"/>
      <c r="W9" s="59" t="s">
        <v>392</v>
      </c>
      <c r="X9" s="40"/>
      <c r="Y9" s="56">
        <v>0.125</v>
      </c>
      <c r="Z9" s="40"/>
      <c r="AA9" s="92">
        <v>1.1599999999999999</v>
      </c>
      <c r="AB9" s="40" t="s">
        <v>125</v>
      </c>
      <c r="AC9" s="40" t="s">
        <v>449</v>
      </c>
      <c r="AD9" s="40" t="s">
        <v>445</v>
      </c>
    </row>
    <row r="10" spans="1:30">
      <c r="A10" s="40"/>
      <c r="B10" s="40" t="s">
        <v>452</v>
      </c>
      <c r="C10" s="40" t="s">
        <v>54</v>
      </c>
      <c r="D10" s="91" t="s">
        <v>55</v>
      </c>
      <c r="E10" s="63" t="s">
        <v>460</v>
      </c>
      <c r="F10" s="55" t="s">
        <v>233</v>
      </c>
      <c r="G10" s="60">
        <v>15</v>
      </c>
      <c r="H10" s="40"/>
      <c r="I10" s="40"/>
      <c r="J10" s="40"/>
      <c r="K10" s="43" t="s">
        <v>399</v>
      </c>
      <c r="L10" s="40"/>
      <c r="M10" s="45" t="s">
        <v>511</v>
      </c>
      <c r="N10" s="44">
        <v>7</v>
      </c>
      <c r="O10" s="41"/>
      <c r="P10" s="41"/>
      <c r="Q10" s="46">
        <v>18</v>
      </c>
      <c r="R10" s="45" t="s">
        <v>528</v>
      </c>
      <c r="S10" s="47" t="s">
        <v>394</v>
      </c>
      <c r="T10" s="40"/>
      <c r="U10" s="40"/>
      <c r="V10" s="40"/>
      <c r="W10" s="59" t="s">
        <v>395</v>
      </c>
      <c r="X10" s="40"/>
      <c r="Y10" s="56">
        <v>0.12569444444444444</v>
      </c>
      <c r="Z10" s="40"/>
      <c r="AA10" s="92">
        <v>1.17</v>
      </c>
      <c r="AB10" s="40" t="s">
        <v>120</v>
      </c>
      <c r="AC10" s="40" t="s">
        <v>449</v>
      </c>
      <c r="AD10" s="40" t="s">
        <v>445</v>
      </c>
    </row>
    <row r="11" spans="1:30">
      <c r="A11" s="40"/>
      <c r="B11" s="40"/>
      <c r="C11" s="40" t="s">
        <v>59</v>
      </c>
      <c r="D11" s="91" t="s">
        <v>60</v>
      </c>
      <c r="E11" s="63" t="s">
        <v>461</v>
      </c>
      <c r="F11" s="55" t="s">
        <v>232</v>
      </c>
      <c r="G11" s="60">
        <v>14</v>
      </c>
      <c r="H11" s="59"/>
      <c r="I11" s="40"/>
      <c r="J11" s="40"/>
      <c r="K11" s="43" t="s">
        <v>401</v>
      </c>
      <c r="L11" s="40"/>
      <c r="M11" s="45" t="s">
        <v>512</v>
      </c>
      <c r="N11" s="44">
        <v>8</v>
      </c>
      <c r="O11" s="41"/>
      <c r="P11" s="41"/>
      <c r="Q11" s="46">
        <v>17</v>
      </c>
      <c r="S11" s="47" t="s">
        <v>397</v>
      </c>
      <c r="T11" s="51" t="s">
        <v>414</v>
      </c>
      <c r="U11" s="40"/>
      <c r="V11" s="40"/>
      <c r="W11" s="59" t="s">
        <v>407</v>
      </c>
      <c r="X11" s="40"/>
      <c r="Y11" s="56">
        <v>0.12916666666666668</v>
      </c>
      <c r="Z11" s="40"/>
      <c r="AA11" s="92">
        <v>1.22</v>
      </c>
      <c r="AB11" s="40" t="s">
        <v>115</v>
      </c>
      <c r="AC11" s="163" t="s">
        <v>548</v>
      </c>
      <c r="AD11" s="40"/>
    </row>
    <row r="12" spans="1:30">
      <c r="A12" s="40"/>
      <c r="B12" s="40"/>
      <c r="C12" s="40" t="s">
        <v>69</v>
      </c>
      <c r="D12" s="91" t="s">
        <v>70</v>
      </c>
      <c r="E12" s="65" t="s">
        <v>462</v>
      </c>
      <c r="F12" s="55" t="s">
        <v>72</v>
      </c>
      <c r="G12" s="40"/>
      <c r="H12" s="40"/>
      <c r="I12" s="40"/>
      <c r="J12" s="40"/>
      <c r="K12" s="50"/>
      <c r="L12" s="40"/>
      <c r="M12" s="45" t="s">
        <v>513</v>
      </c>
      <c r="N12" s="44">
        <v>9</v>
      </c>
      <c r="O12" s="41"/>
      <c r="P12" s="41"/>
      <c r="Q12" s="46">
        <v>16</v>
      </c>
      <c r="S12" s="47" t="s">
        <v>400</v>
      </c>
      <c r="T12" s="51" t="s">
        <v>411</v>
      </c>
      <c r="U12" s="40"/>
      <c r="V12" s="40"/>
      <c r="W12" s="59" t="s">
        <v>409</v>
      </c>
      <c r="X12" s="40"/>
      <c r="Y12" s="56">
        <v>0.12986111111111112</v>
      </c>
      <c r="Z12" s="40"/>
      <c r="AA12" s="92">
        <v>1.23</v>
      </c>
      <c r="AB12" s="40" t="s">
        <v>110</v>
      </c>
      <c r="AC12" s="163" t="s">
        <v>549</v>
      </c>
      <c r="AD12" s="40"/>
    </row>
    <row r="13" spans="1:30">
      <c r="A13" s="40" t="s">
        <v>449</v>
      </c>
      <c r="B13" s="40"/>
      <c r="C13" s="40" t="s">
        <v>74</v>
      </c>
      <c r="D13" s="91" t="s">
        <v>75</v>
      </c>
      <c r="E13" s="63" t="s">
        <v>470</v>
      </c>
      <c r="F13" s="55" t="s">
        <v>78</v>
      </c>
      <c r="G13" s="40"/>
      <c r="H13" s="40"/>
      <c r="I13" s="40"/>
      <c r="J13" s="42" t="s">
        <v>398</v>
      </c>
      <c r="K13" s="50"/>
      <c r="L13" s="40"/>
      <c r="M13" s="45" t="s">
        <v>514</v>
      </c>
      <c r="N13" s="44">
        <v>10</v>
      </c>
      <c r="O13" s="41"/>
      <c r="P13" s="41"/>
      <c r="Q13" s="46">
        <v>15</v>
      </c>
      <c r="R13" s="45" t="s">
        <v>529</v>
      </c>
      <c r="S13" s="47" t="s">
        <v>402</v>
      </c>
      <c r="T13" s="51" t="s">
        <v>393</v>
      </c>
      <c r="U13" s="40"/>
      <c r="V13" s="40"/>
      <c r="W13" s="40"/>
      <c r="X13" s="40"/>
      <c r="Y13" s="56">
        <v>0.12708333333333333</v>
      </c>
      <c r="Z13" s="48" t="s">
        <v>467</v>
      </c>
      <c r="AA13" s="91">
        <v>1.19</v>
      </c>
      <c r="AB13" s="40" t="s">
        <v>104</v>
      </c>
      <c r="AC13" s="40"/>
      <c r="AD13" s="40" t="s">
        <v>446</v>
      </c>
    </row>
    <row r="14" spans="1:30">
      <c r="A14" s="40" t="s">
        <v>448</v>
      </c>
      <c r="B14" s="40" t="s">
        <v>453</v>
      </c>
      <c r="C14" s="40" t="s">
        <v>80</v>
      </c>
      <c r="D14" s="91" t="s">
        <v>81</v>
      </c>
      <c r="E14" s="40"/>
      <c r="F14" s="55" t="s">
        <v>84</v>
      </c>
      <c r="G14" s="40"/>
      <c r="H14" s="40"/>
      <c r="I14" s="57" t="s">
        <v>382</v>
      </c>
      <c r="J14" s="42" t="s">
        <v>431</v>
      </c>
      <c r="K14" s="40"/>
      <c r="L14" s="40"/>
      <c r="M14" s="45" t="s">
        <v>515</v>
      </c>
      <c r="N14" s="44">
        <v>11</v>
      </c>
      <c r="O14" s="41"/>
      <c r="P14" s="41"/>
      <c r="Q14" s="46">
        <v>14</v>
      </c>
      <c r="R14" s="45" t="s">
        <v>530</v>
      </c>
      <c r="S14" s="47" t="s">
        <v>403</v>
      </c>
      <c r="T14" s="51" t="s">
        <v>396</v>
      </c>
      <c r="U14" s="40"/>
      <c r="V14" s="40"/>
      <c r="W14" s="40"/>
      <c r="X14" s="40"/>
      <c r="Y14" s="56">
        <v>0.12638888888888888</v>
      </c>
      <c r="Z14" s="63" t="s">
        <v>466</v>
      </c>
      <c r="AA14" s="91">
        <v>1.18</v>
      </c>
      <c r="AB14" s="40" t="s">
        <v>98</v>
      </c>
      <c r="AC14" s="40"/>
      <c r="AD14" s="40"/>
    </row>
    <row r="15" spans="1:30">
      <c r="A15" s="40" t="s">
        <v>448</v>
      </c>
      <c r="B15" s="40" t="s">
        <v>447</v>
      </c>
      <c r="C15" s="40" t="s">
        <v>86</v>
      </c>
      <c r="D15" s="91" t="s">
        <v>87</v>
      </c>
      <c r="E15" s="63" t="s">
        <v>471</v>
      </c>
      <c r="F15" s="55" t="s">
        <v>90</v>
      </c>
      <c r="G15" s="40"/>
      <c r="H15" s="40"/>
      <c r="I15" s="40"/>
      <c r="J15" s="42" t="s">
        <v>432</v>
      </c>
      <c r="K15" s="40"/>
      <c r="L15" s="40"/>
      <c r="M15" s="45" t="s">
        <v>516</v>
      </c>
      <c r="N15" s="44">
        <v>12</v>
      </c>
      <c r="O15" s="41"/>
      <c r="P15" s="41"/>
      <c r="Q15" s="46">
        <v>13</v>
      </c>
      <c r="R15" s="45" t="s">
        <v>531</v>
      </c>
      <c r="S15" s="89" t="s">
        <v>499</v>
      </c>
      <c r="T15" s="40"/>
      <c r="U15" s="42" t="s">
        <v>404</v>
      </c>
      <c r="V15" s="57" t="s">
        <v>389</v>
      </c>
      <c r="W15" s="40"/>
      <c r="X15" s="40"/>
      <c r="Y15" s="56">
        <v>8.5416666666666655E-2</v>
      </c>
      <c r="Z15" s="40"/>
      <c r="AA15" s="91">
        <v>2.2999999999999998</v>
      </c>
      <c r="AB15" s="40" t="s">
        <v>92</v>
      </c>
      <c r="AC15" s="40" t="s">
        <v>447</v>
      </c>
      <c r="AD15" s="40" t="s">
        <v>448</v>
      </c>
    </row>
    <row r="16" spans="1:30">
      <c r="A16" s="40"/>
      <c r="B16" s="40"/>
      <c r="C16" s="40"/>
      <c r="D16" s="91"/>
      <c r="E16" s="40"/>
      <c r="F16" s="40"/>
      <c r="G16" s="40"/>
      <c r="H16" s="40"/>
      <c r="I16" s="40"/>
      <c r="J16" s="40"/>
      <c r="K16" s="40"/>
      <c r="L16" s="197" t="s">
        <v>405</v>
      </c>
      <c r="M16" s="197"/>
      <c r="N16" s="197"/>
      <c r="O16" s="41"/>
      <c r="P16" s="41"/>
      <c r="Q16" s="198" t="s">
        <v>379</v>
      </c>
      <c r="R16" s="198"/>
      <c r="S16" s="198"/>
      <c r="T16" s="198"/>
      <c r="U16" s="40"/>
      <c r="V16" s="40"/>
      <c r="W16" s="40"/>
      <c r="X16" s="40"/>
      <c r="Y16" s="54"/>
      <c r="Z16" s="40"/>
      <c r="AA16" s="91"/>
      <c r="AB16" s="40"/>
      <c r="AC16" s="40"/>
      <c r="AD16" s="40"/>
    </row>
    <row r="17" spans="1:30">
      <c r="A17" s="40"/>
      <c r="B17" s="40"/>
      <c r="C17" s="40" t="s">
        <v>152</v>
      </c>
      <c r="D17" s="92" t="s">
        <v>153</v>
      </c>
      <c r="E17" s="40"/>
      <c r="F17" s="40"/>
      <c r="G17" s="40"/>
      <c r="H17" s="59" t="s">
        <v>385</v>
      </c>
      <c r="I17" s="40"/>
      <c r="J17" s="40"/>
      <c r="K17" s="51" t="s">
        <v>416</v>
      </c>
      <c r="L17" s="47" t="s">
        <v>435</v>
      </c>
      <c r="M17" s="45" t="s">
        <v>518</v>
      </c>
      <c r="N17" s="44">
        <v>24</v>
      </c>
      <c r="O17" s="41"/>
      <c r="P17" s="41"/>
      <c r="Q17" s="52">
        <v>41</v>
      </c>
      <c r="R17" s="53" t="s">
        <v>572</v>
      </c>
      <c r="S17" s="47" t="s">
        <v>406</v>
      </c>
      <c r="T17" s="40"/>
      <c r="U17" s="40"/>
      <c r="V17" s="40"/>
      <c r="W17" s="40"/>
      <c r="X17" s="40"/>
      <c r="Y17" s="56" t="s">
        <v>313</v>
      </c>
      <c r="Z17" s="40"/>
      <c r="AA17" s="91">
        <v>1.21</v>
      </c>
      <c r="AB17" s="40" t="s">
        <v>429</v>
      </c>
      <c r="AC17" s="163" t="s">
        <v>550</v>
      </c>
      <c r="AD17" s="40"/>
    </row>
    <row r="18" spans="1:30">
      <c r="A18" s="40"/>
      <c r="B18" s="40"/>
      <c r="C18" s="40" t="s">
        <v>157</v>
      </c>
      <c r="D18" s="92" t="s">
        <v>158</v>
      </c>
      <c r="E18" s="40"/>
      <c r="F18" s="40"/>
      <c r="G18" s="40"/>
      <c r="H18" s="59" t="s">
        <v>387</v>
      </c>
      <c r="I18" s="40"/>
      <c r="J18" s="40"/>
      <c r="K18" s="51" t="s">
        <v>417</v>
      </c>
      <c r="L18" s="47" t="s">
        <v>436</v>
      </c>
      <c r="M18" s="45" t="s">
        <v>517</v>
      </c>
      <c r="N18" s="44">
        <v>25</v>
      </c>
      <c r="O18" s="41"/>
      <c r="P18" s="41"/>
      <c r="Q18" s="52">
        <v>40</v>
      </c>
      <c r="R18" s="53" t="s">
        <v>571</v>
      </c>
      <c r="S18" s="47" t="s">
        <v>408</v>
      </c>
      <c r="T18" s="40"/>
      <c r="U18" s="40"/>
      <c r="V18" s="40"/>
      <c r="W18" s="40"/>
      <c r="X18" s="40"/>
      <c r="Y18" s="56" t="s">
        <v>314</v>
      </c>
      <c r="Z18" s="40"/>
      <c r="AA18" s="91" t="s">
        <v>498</v>
      </c>
      <c r="AB18" s="40" t="s">
        <v>428</v>
      </c>
      <c r="AC18" s="163" t="s">
        <v>547</v>
      </c>
      <c r="AD18" s="40"/>
    </row>
    <row r="19" spans="1:30">
      <c r="A19" s="40"/>
      <c r="B19" s="163" t="s">
        <v>542</v>
      </c>
      <c r="C19" s="40" t="s">
        <v>163</v>
      </c>
      <c r="D19" s="92" t="s">
        <v>164</v>
      </c>
      <c r="E19" s="40"/>
      <c r="F19" s="55" t="s">
        <v>208</v>
      </c>
      <c r="G19" s="40"/>
      <c r="H19" s="40"/>
      <c r="I19" s="40"/>
      <c r="J19" s="42" t="s">
        <v>434</v>
      </c>
      <c r="L19" s="47" t="s">
        <v>437</v>
      </c>
      <c r="M19" s="40"/>
      <c r="N19" s="44">
        <v>26</v>
      </c>
      <c r="O19" s="41"/>
      <c r="P19" s="41"/>
      <c r="Q19" s="46">
        <v>39</v>
      </c>
      <c r="R19" s="53"/>
      <c r="S19" s="47" t="s">
        <v>439</v>
      </c>
      <c r="T19" s="40"/>
      <c r="U19" s="67" t="s">
        <v>433</v>
      </c>
      <c r="V19" s="40"/>
      <c r="W19" s="40"/>
      <c r="X19" s="40"/>
      <c r="Y19" s="55" t="s">
        <v>316</v>
      </c>
      <c r="Z19" s="40"/>
      <c r="AA19" s="92">
        <v>1.29</v>
      </c>
      <c r="AB19" s="40" t="s">
        <v>427</v>
      </c>
      <c r="AC19" s="163" t="s">
        <v>543</v>
      </c>
      <c r="AD19" s="40"/>
    </row>
    <row r="20" spans="1:30">
      <c r="A20" s="40"/>
      <c r="B20" s="163" t="s">
        <v>541</v>
      </c>
      <c r="C20" s="40" t="s">
        <v>168</v>
      </c>
      <c r="D20" s="92" t="s">
        <v>169</v>
      </c>
      <c r="E20" s="40"/>
      <c r="F20" s="55" t="s">
        <v>209</v>
      </c>
      <c r="G20" s="40"/>
      <c r="H20" s="40"/>
      <c r="I20" s="40"/>
      <c r="J20" s="42" t="s">
        <v>413</v>
      </c>
      <c r="K20" s="40"/>
      <c r="L20" s="47" t="s">
        <v>438</v>
      </c>
      <c r="M20" s="40"/>
      <c r="N20" s="44">
        <v>27</v>
      </c>
      <c r="O20" s="41"/>
      <c r="P20" s="41"/>
      <c r="Q20" s="46">
        <v>38</v>
      </c>
      <c r="R20" s="53"/>
      <c r="S20" s="47" t="s">
        <v>440</v>
      </c>
      <c r="T20" s="40"/>
      <c r="U20" s="67" t="s">
        <v>480</v>
      </c>
      <c r="V20" s="40"/>
      <c r="W20" s="40"/>
      <c r="Y20" s="55" t="s">
        <v>315</v>
      </c>
      <c r="Z20" s="40"/>
      <c r="AA20" s="91">
        <v>1.28</v>
      </c>
      <c r="AB20" s="40" t="s">
        <v>426</v>
      </c>
      <c r="AC20" s="163" t="s">
        <v>544</v>
      </c>
      <c r="AD20" s="40"/>
    </row>
    <row r="21" spans="1:30">
      <c r="A21" s="40"/>
      <c r="B21" s="40"/>
      <c r="C21" s="40" t="s">
        <v>173</v>
      </c>
      <c r="D21" s="92" t="s">
        <v>174</v>
      </c>
      <c r="E21" s="40"/>
      <c r="F21" s="40"/>
      <c r="G21" s="40"/>
      <c r="H21" s="40"/>
      <c r="I21" s="40"/>
      <c r="J21" s="40"/>
      <c r="K21" s="51" t="s">
        <v>418</v>
      </c>
      <c r="L21" s="40"/>
      <c r="M21" s="45" t="s">
        <v>519</v>
      </c>
      <c r="N21" s="44">
        <v>28</v>
      </c>
      <c r="O21" s="41"/>
      <c r="P21" s="41"/>
      <c r="Q21" s="46">
        <v>37</v>
      </c>
      <c r="R21" s="45" t="s">
        <v>533</v>
      </c>
      <c r="S21" s="40"/>
      <c r="T21" s="40"/>
      <c r="U21" s="66" t="s">
        <v>479</v>
      </c>
      <c r="V21" s="40"/>
      <c r="W21" s="40"/>
      <c r="X21" s="60">
        <v>17</v>
      </c>
      <c r="Y21" s="55" t="s">
        <v>310</v>
      </c>
      <c r="Z21" s="40"/>
      <c r="AA21" s="91">
        <v>2.19</v>
      </c>
      <c r="AB21" s="40" t="s">
        <v>425</v>
      </c>
      <c r="AC21" s="40"/>
      <c r="AD21" s="40"/>
    </row>
    <row r="22" spans="1:30">
      <c r="A22" s="40"/>
      <c r="B22" s="40"/>
      <c r="C22" s="40" t="s">
        <v>177</v>
      </c>
      <c r="D22" s="91" t="s">
        <v>178</v>
      </c>
      <c r="E22" s="40"/>
      <c r="F22" s="40"/>
      <c r="G22" s="40"/>
      <c r="H22" s="40"/>
      <c r="I22" s="40"/>
      <c r="J22" s="40"/>
      <c r="K22" s="51" t="s">
        <v>419</v>
      </c>
      <c r="L22" s="40"/>
      <c r="M22" s="45" t="s">
        <v>521</v>
      </c>
      <c r="N22" s="44">
        <v>29</v>
      </c>
      <c r="O22" s="41"/>
      <c r="P22" s="41"/>
      <c r="Q22" s="46">
        <v>36</v>
      </c>
      <c r="R22" s="45" t="s">
        <v>532</v>
      </c>
      <c r="S22" s="40"/>
      <c r="T22" s="40"/>
      <c r="U22" s="66" t="s">
        <v>478</v>
      </c>
      <c r="V22" s="40"/>
      <c r="W22" s="40"/>
      <c r="X22" s="60">
        <v>16</v>
      </c>
      <c r="Y22" s="55" t="s">
        <v>309</v>
      </c>
      <c r="Z22" s="40"/>
      <c r="AA22" s="91">
        <v>2.1800000000000002</v>
      </c>
      <c r="AB22" s="40" t="s">
        <v>424</v>
      </c>
      <c r="AC22" s="40"/>
      <c r="AD22" s="40"/>
    </row>
    <row r="23" spans="1:30">
      <c r="A23" s="40"/>
      <c r="B23" s="40"/>
      <c r="C23" s="40" t="s">
        <v>198</v>
      </c>
      <c r="D23" s="91">
        <v>3.23</v>
      </c>
      <c r="E23" s="40"/>
      <c r="F23" s="40"/>
      <c r="G23" s="60">
        <v>23</v>
      </c>
      <c r="H23" s="40"/>
      <c r="I23" s="49" t="s">
        <v>393</v>
      </c>
      <c r="J23" s="40"/>
      <c r="K23" s="40"/>
      <c r="L23" s="40"/>
      <c r="M23" s="40" t="s">
        <v>522</v>
      </c>
      <c r="N23" s="44">
        <v>30</v>
      </c>
      <c r="O23" s="41"/>
      <c r="P23" s="41"/>
      <c r="Q23" s="46">
        <v>35</v>
      </c>
      <c r="R23" s="53"/>
      <c r="S23" s="40"/>
      <c r="T23" s="43" t="s">
        <v>421</v>
      </c>
      <c r="U23" s="40"/>
      <c r="V23" s="40"/>
      <c r="W23" s="40"/>
      <c r="X23" s="40"/>
      <c r="Y23" s="55" t="s">
        <v>308</v>
      </c>
      <c r="Z23" s="40"/>
      <c r="AA23" s="91">
        <v>2.2799999999999998</v>
      </c>
      <c r="AB23" s="40" t="s">
        <v>423</v>
      </c>
      <c r="AC23" s="163" t="s">
        <v>547</v>
      </c>
      <c r="AD23" s="40"/>
    </row>
    <row r="24" spans="1:30">
      <c r="A24" s="40"/>
      <c r="B24" s="40"/>
      <c r="C24" s="40" t="s">
        <v>202</v>
      </c>
      <c r="D24" s="95">
        <v>3.22</v>
      </c>
      <c r="E24" s="40"/>
      <c r="F24" s="40"/>
      <c r="G24" s="60">
        <v>22</v>
      </c>
      <c r="H24" s="40"/>
      <c r="I24" s="57" t="s">
        <v>396</v>
      </c>
      <c r="J24" s="40"/>
      <c r="K24" s="40"/>
      <c r="L24" s="40"/>
      <c r="M24" s="40" t="s">
        <v>523</v>
      </c>
      <c r="N24" s="44">
        <v>31</v>
      </c>
      <c r="O24" s="41"/>
      <c r="P24" s="41"/>
      <c r="Q24" s="46">
        <v>34</v>
      </c>
      <c r="R24" s="53"/>
      <c r="S24" s="40"/>
      <c r="T24" s="43" t="s">
        <v>420</v>
      </c>
      <c r="U24" s="40"/>
      <c r="V24" s="40"/>
      <c r="W24" s="40"/>
      <c r="X24" s="40"/>
      <c r="Y24" s="55" t="s">
        <v>307</v>
      </c>
      <c r="Z24" s="40"/>
      <c r="AA24" s="91">
        <v>2.29</v>
      </c>
      <c r="AB24" s="40" t="s">
        <v>422</v>
      </c>
      <c r="AC24" s="163" t="s">
        <v>548</v>
      </c>
      <c r="AD24" s="40"/>
    </row>
    <row r="25" spans="1:30">
      <c r="A25" s="40"/>
      <c r="B25" s="40"/>
      <c r="C25" s="40" t="s">
        <v>187</v>
      </c>
      <c r="D25" s="95" t="s">
        <v>188</v>
      </c>
      <c r="E25" s="63" t="s">
        <v>468</v>
      </c>
      <c r="F25" s="56">
        <v>9.1666666666666674E-2</v>
      </c>
      <c r="G25" s="60">
        <v>10</v>
      </c>
      <c r="H25" s="40"/>
      <c r="I25" s="40"/>
      <c r="J25" s="40"/>
      <c r="K25" s="40"/>
      <c r="L25" s="40"/>
      <c r="M25" s="40"/>
      <c r="N25" s="44">
        <v>32</v>
      </c>
      <c r="O25" s="41"/>
      <c r="P25" s="41"/>
      <c r="Q25" s="46">
        <v>33</v>
      </c>
      <c r="R25" s="45" t="s">
        <v>534</v>
      </c>
      <c r="S25" s="40"/>
      <c r="T25" s="40"/>
      <c r="U25" s="40"/>
      <c r="V25" s="40"/>
      <c r="W25" s="40"/>
      <c r="X25" s="60">
        <v>9</v>
      </c>
      <c r="Y25" s="55" t="s">
        <v>53</v>
      </c>
      <c r="Z25" s="63" t="s">
        <v>469</v>
      </c>
      <c r="AA25" s="91">
        <v>4.7</v>
      </c>
      <c r="AB25" s="40" t="s">
        <v>49</v>
      </c>
      <c r="AC25" s="40"/>
      <c r="AD25" s="40"/>
    </row>
    <row r="26" spans="1:30">
      <c r="A26" s="69"/>
      <c r="B26" s="69"/>
      <c r="C26" s="69"/>
      <c r="D26" s="7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78"/>
      <c r="AB26" s="69"/>
      <c r="AC26" s="70"/>
      <c r="AD26" s="70"/>
    </row>
    <row r="27" spans="1:30">
      <c r="A27" s="69"/>
      <c r="B27" s="69"/>
      <c r="C27" s="69"/>
      <c r="D27" s="7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 t="s">
        <v>500</v>
      </c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78"/>
      <c r="AB27" s="69"/>
      <c r="AC27" s="70"/>
      <c r="AD27" s="70"/>
    </row>
    <row r="28" spans="1:30" s="68" customFormat="1" ht="11.25">
      <c r="A28" s="69"/>
      <c r="B28" s="69"/>
      <c r="C28" s="188" t="s">
        <v>222</v>
      </c>
      <c r="D28" s="78" t="s">
        <v>570</v>
      </c>
      <c r="E28" s="69"/>
      <c r="F28" s="71" t="s">
        <v>213</v>
      </c>
      <c r="G28" s="72">
        <v>7</v>
      </c>
      <c r="H28" s="69"/>
      <c r="I28" s="69"/>
      <c r="J28" s="73" t="s">
        <v>488</v>
      </c>
      <c r="K28" s="69"/>
      <c r="L28" s="69"/>
      <c r="M28" s="74" t="s">
        <v>520</v>
      </c>
      <c r="N28" s="75">
        <v>42</v>
      </c>
      <c r="O28" s="76" t="s">
        <v>494</v>
      </c>
      <c r="P28" s="69" t="s">
        <v>485</v>
      </c>
      <c r="Q28" s="75">
        <v>47</v>
      </c>
      <c r="R28" s="74" t="s">
        <v>539</v>
      </c>
      <c r="S28" s="69"/>
      <c r="T28" s="77" t="s">
        <v>415</v>
      </c>
      <c r="U28" s="69"/>
      <c r="V28" s="69"/>
      <c r="W28" s="69"/>
      <c r="X28" s="72">
        <v>8</v>
      </c>
      <c r="Y28" s="71" t="s">
        <v>218</v>
      </c>
      <c r="Z28" s="69"/>
      <c r="AA28" s="78">
        <v>3.16</v>
      </c>
      <c r="AB28" s="188" t="s">
        <v>223</v>
      </c>
      <c r="AC28" s="76"/>
      <c r="AD28" s="76"/>
    </row>
    <row r="29" spans="1:30" s="68" customFormat="1" ht="11.25">
      <c r="A29" s="69"/>
      <c r="B29" s="69"/>
      <c r="C29" s="188" t="s">
        <v>221</v>
      </c>
      <c r="D29" s="78">
        <v>3.14</v>
      </c>
      <c r="E29" s="69"/>
      <c r="F29" s="71" t="s">
        <v>214</v>
      </c>
      <c r="G29" s="72">
        <v>6</v>
      </c>
      <c r="H29" s="69"/>
      <c r="I29" s="69"/>
      <c r="J29" s="73" t="s">
        <v>489</v>
      </c>
      <c r="K29" s="77" t="s">
        <v>487</v>
      </c>
      <c r="L29" s="69"/>
      <c r="M29" s="74" t="s">
        <v>535</v>
      </c>
      <c r="N29" s="75">
        <v>43</v>
      </c>
      <c r="O29" s="69" t="s">
        <v>486</v>
      </c>
      <c r="P29" s="69" t="s">
        <v>495</v>
      </c>
      <c r="Q29" s="75">
        <v>46</v>
      </c>
      <c r="R29" s="74" t="s">
        <v>538</v>
      </c>
      <c r="S29" s="69"/>
      <c r="T29" s="77" t="s">
        <v>412</v>
      </c>
      <c r="U29" s="69"/>
      <c r="V29" s="69"/>
      <c r="W29" s="69"/>
      <c r="X29" s="72">
        <v>9</v>
      </c>
      <c r="Y29" s="71" t="s">
        <v>217</v>
      </c>
      <c r="Z29" s="69"/>
      <c r="AA29" s="78">
        <v>3.17</v>
      </c>
      <c r="AB29" s="188" t="s">
        <v>224</v>
      </c>
      <c r="AC29" s="76"/>
      <c r="AD29" s="76"/>
    </row>
    <row r="30" spans="1:30" s="68" customFormat="1" ht="11.25">
      <c r="A30" s="76"/>
      <c r="B30" s="76"/>
      <c r="C30" s="189"/>
      <c r="D30" s="93"/>
      <c r="E30" s="76"/>
      <c r="F30" s="76"/>
      <c r="G30" s="69"/>
      <c r="H30" s="76"/>
      <c r="I30" s="76"/>
      <c r="J30" s="76"/>
      <c r="K30" s="76"/>
      <c r="L30" s="197" t="s">
        <v>379</v>
      </c>
      <c r="M30" s="197"/>
      <c r="N30" s="197"/>
      <c r="O30" s="76" t="s">
        <v>493</v>
      </c>
      <c r="P30" s="76" t="s">
        <v>496</v>
      </c>
      <c r="Q30" s="75">
        <v>45</v>
      </c>
      <c r="R30" s="74" t="s">
        <v>537</v>
      </c>
      <c r="S30" s="76"/>
      <c r="T30" s="76"/>
      <c r="U30" s="79" t="s">
        <v>491</v>
      </c>
      <c r="V30" s="76"/>
      <c r="W30" s="149" t="s">
        <v>409</v>
      </c>
      <c r="X30" s="80">
        <v>4</v>
      </c>
      <c r="Y30" s="81" t="s">
        <v>216</v>
      </c>
      <c r="Z30" s="76"/>
      <c r="AA30" s="93">
        <v>3.12</v>
      </c>
      <c r="AB30" s="188" t="s">
        <v>219</v>
      </c>
      <c r="AC30" s="76"/>
      <c r="AD30" s="76"/>
    </row>
    <row r="31" spans="1:30" s="68" customFormat="1" ht="11.25">
      <c r="A31" s="76"/>
      <c r="B31" s="76"/>
      <c r="C31" s="188" t="s">
        <v>220</v>
      </c>
      <c r="D31" s="93">
        <v>3.13</v>
      </c>
      <c r="E31" s="76"/>
      <c r="F31" s="81" t="s">
        <v>215</v>
      </c>
      <c r="G31" s="72">
        <v>5</v>
      </c>
      <c r="H31" s="149" t="s">
        <v>407</v>
      </c>
      <c r="I31" s="76"/>
      <c r="J31" s="79" t="s">
        <v>490</v>
      </c>
      <c r="K31" s="76"/>
      <c r="L31" s="76"/>
      <c r="M31" s="82" t="s">
        <v>536</v>
      </c>
      <c r="N31" s="75">
        <v>44</v>
      </c>
      <c r="O31" s="76" t="s">
        <v>492</v>
      </c>
      <c r="P31" s="69" t="s">
        <v>497</v>
      </c>
      <c r="Q31" s="197" t="s">
        <v>405</v>
      </c>
      <c r="R31" s="197"/>
      <c r="S31" s="197"/>
      <c r="T31" s="76"/>
      <c r="U31" s="76"/>
      <c r="V31" s="76"/>
      <c r="W31" s="76"/>
      <c r="X31" s="76"/>
      <c r="Y31" s="76"/>
      <c r="Z31" s="76"/>
      <c r="AA31" s="93"/>
      <c r="AB31" s="76"/>
      <c r="AC31" s="76"/>
      <c r="AD31" s="76"/>
    </row>
    <row r="32" spans="1:30">
      <c r="A32" s="70"/>
      <c r="B32" s="70"/>
      <c r="C32" s="70"/>
      <c r="D32" s="94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94"/>
      <c r="AB32" s="70"/>
      <c r="AC32" s="70"/>
      <c r="AD32" s="70"/>
    </row>
    <row r="33" spans="1:30">
      <c r="A33" s="70"/>
      <c r="B33" s="70"/>
      <c r="C33" s="70"/>
      <c r="D33" s="94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69" t="s">
        <v>481</v>
      </c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94"/>
      <c r="AB33" s="70"/>
      <c r="AC33" s="70"/>
      <c r="AD33" s="70"/>
    </row>
    <row r="34" spans="1:30">
      <c r="A34" s="69"/>
      <c r="B34" s="73" t="s">
        <v>621</v>
      </c>
      <c r="C34" s="69" t="s">
        <v>322</v>
      </c>
      <c r="D34" s="78">
        <v>4.26</v>
      </c>
      <c r="E34" s="69"/>
      <c r="F34" s="83">
        <v>4.9999999999999996E-2</v>
      </c>
      <c r="G34" s="69"/>
      <c r="H34" s="69"/>
      <c r="I34" s="69"/>
      <c r="J34" s="69"/>
      <c r="K34" s="84" t="s">
        <v>381</v>
      </c>
      <c r="L34" s="69"/>
      <c r="M34" s="45" t="s">
        <v>520</v>
      </c>
      <c r="N34" s="85">
        <v>52</v>
      </c>
      <c r="O34" s="69"/>
      <c r="P34" s="69"/>
      <c r="Q34" s="198" t="s">
        <v>379</v>
      </c>
      <c r="R34" s="198"/>
      <c r="S34" s="198"/>
      <c r="T34" s="198"/>
      <c r="U34" s="69"/>
      <c r="V34" s="69"/>
      <c r="W34" s="69"/>
      <c r="X34" s="69"/>
      <c r="Y34" s="69"/>
      <c r="Z34" s="69"/>
      <c r="AA34" s="78"/>
      <c r="AB34" s="69"/>
      <c r="AC34" s="70"/>
      <c r="AD34" s="70"/>
    </row>
    <row r="35" spans="1:30">
      <c r="A35" s="69"/>
      <c r="B35" s="73" t="s">
        <v>622</v>
      </c>
      <c r="C35" s="69" t="s">
        <v>321</v>
      </c>
      <c r="D35" s="78">
        <v>4.25</v>
      </c>
      <c r="E35" s="69"/>
      <c r="F35" s="69"/>
      <c r="G35" s="69"/>
      <c r="H35" s="69"/>
      <c r="I35" s="69"/>
      <c r="J35" s="69"/>
      <c r="K35" s="84" t="s">
        <v>382</v>
      </c>
      <c r="L35" s="69"/>
      <c r="M35" s="45" t="s">
        <v>535</v>
      </c>
      <c r="N35" s="85">
        <v>53</v>
      </c>
      <c r="O35" s="69"/>
      <c r="P35" s="69"/>
      <c r="Q35" s="85">
        <v>50</v>
      </c>
      <c r="R35" s="45" t="s">
        <v>538</v>
      </c>
      <c r="S35" s="69"/>
      <c r="T35" s="86" t="s">
        <v>484</v>
      </c>
      <c r="U35" s="87" t="s">
        <v>489</v>
      </c>
      <c r="V35" s="69"/>
      <c r="W35" s="69"/>
      <c r="X35" s="69"/>
      <c r="Y35" s="83">
        <v>5.1388888888888894E-2</v>
      </c>
      <c r="Z35" s="69"/>
      <c r="AA35" s="78">
        <v>4.28</v>
      </c>
      <c r="AB35" s="69" t="s">
        <v>324</v>
      </c>
      <c r="AC35" s="73" t="s">
        <v>623</v>
      </c>
      <c r="AD35" s="70"/>
    </row>
    <row r="36" spans="1:30">
      <c r="A36" s="69"/>
      <c r="B36" s="73" t="s">
        <v>624</v>
      </c>
      <c r="C36" s="69" t="s">
        <v>325</v>
      </c>
      <c r="D36" s="78">
        <v>4.29</v>
      </c>
      <c r="E36" s="69"/>
      <c r="F36" s="83">
        <v>5.2083333333333336E-2</v>
      </c>
      <c r="G36" s="69"/>
      <c r="H36" s="69"/>
      <c r="I36" s="69"/>
      <c r="J36" s="87" t="s">
        <v>488</v>
      </c>
      <c r="K36" s="69"/>
      <c r="L36" s="69"/>
      <c r="M36" s="45" t="s">
        <v>526</v>
      </c>
      <c r="N36" s="85">
        <v>54</v>
      </c>
      <c r="O36" s="69"/>
      <c r="Q36" s="85">
        <v>49</v>
      </c>
      <c r="R36" s="45" t="s">
        <v>539</v>
      </c>
      <c r="S36" s="69"/>
      <c r="T36" s="69"/>
      <c r="U36" s="87" t="s">
        <v>491</v>
      </c>
      <c r="V36" s="69"/>
      <c r="W36" s="69"/>
      <c r="X36" s="69"/>
      <c r="Y36" s="83">
        <v>5.0694444444444452E-2</v>
      </c>
      <c r="Z36" s="69"/>
      <c r="AA36" s="78">
        <v>4.2699999999999996</v>
      </c>
      <c r="AB36" s="69" t="s">
        <v>323</v>
      </c>
      <c r="AC36" s="73" t="s">
        <v>620</v>
      </c>
      <c r="AD36" s="70"/>
    </row>
    <row r="37" spans="1:30">
      <c r="A37" s="69"/>
      <c r="B37" s="69"/>
      <c r="C37" s="69"/>
      <c r="D37" s="78"/>
      <c r="E37" s="69"/>
      <c r="F37" s="69"/>
      <c r="G37" s="69"/>
      <c r="H37" s="69"/>
      <c r="I37" s="69"/>
      <c r="J37" s="69"/>
      <c r="K37" s="69"/>
      <c r="L37" s="197" t="s">
        <v>405</v>
      </c>
      <c r="M37" s="197"/>
      <c r="N37" s="197"/>
      <c r="O37" s="69"/>
      <c r="P37" s="69" t="s">
        <v>482</v>
      </c>
      <c r="Q37" s="85">
        <v>51</v>
      </c>
      <c r="R37" s="45" t="s">
        <v>540</v>
      </c>
      <c r="S37" s="69"/>
      <c r="T37" s="69"/>
      <c r="U37" s="69"/>
      <c r="V37" s="69"/>
      <c r="W37" s="88" t="s">
        <v>409</v>
      </c>
      <c r="X37" s="69"/>
      <c r="Y37" s="69"/>
      <c r="Z37" s="69"/>
      <c r="AA37" s="78">
        <v>4.22</v>
      </c>
      <c r="AB37" s="69" t="s">
        <v>320</v>
      </c>
      <c r="AC37" s="73" t="s">
        <v>625</v>
      </c>
      <c r="AD37" s="70"/>
    </row>
    <row r="38" spans="1:30">
      <c r="A38" s="69"/>
      <c r="B38" s="69"/>
      <c r="C38" s="69"/>
      <c r="D38" s="78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78"/>
      <c r="AB38" s="69"/>
      <c r="AC38" s="69"/>
      <c r="AD38" s="70"/>
    </row>
    <row r="39" spans="1:30">
      <c r="A39" s="69"/>
      <c r="B39" s="73" t="s">
        <v>621</v>
      </c>
      <c r="C39" s="69" t="s">
        <v>322</v>
      </c>
      <c r="D39" s="78">
        <v>4.26</v>
      </c>
      <c r="E39" s="69"/>
      <c r="F39" s="83">
        <v>4.9999999999999996E-2</v>
      </c>
      <c r="G39" s="69"/>
      <c r="H39" s="69"/>
      <c r="I39" s="69"/>
      <c r="J39" s="69"/>
      <c r="K39" s="84" t="s">
        <v>381</v>
      </c>
      <c r="L39" s="69"/>
      <c r="M39" s="45" t="s">
        <v>520</v>
      </c>
      <c r="N39" s="85">
        <v>52</v>
      </c>
      <c r="O39" s="69"/>
      <c r="P39" s="69"/>
      <c r="Q39" s="198" t="s">
        <v>379</v>
      </c>
      <c r="R39" s="198"/>
      <c r="S39" s="198"/>
      <c r="T39" s="198"/>
      <c r="U39" s="69"/>
      <c r="V39" s="69"/>
      <c r="W39" s="69"/>
      <c r="X39" s="69"/>
      <c r="Y39" s="69"/>
      <c r="Z39" s="69"/>
      <c r="AA39" s="78"/>
      <c r="AB39" s="69"/>
      <c r="AC39" s="69"/>
      <c r="AD39" s="70"/>
    </row>
    <row r="40" spans="1:30">
      <c r="A40" s="69"/>
      <c r="B40" s="73" t="s">
        <v>622</v>
      </c>
      <c r="C40" s="69" t="s">
        <v>321</v>
      </c>
      <c r="D40" s="78">
        <v>4.25</v>
      </c>
      <c r="E40" s="69"/>
      <c r="F40" s="69"/>
      <c r="G40" s="69"/>
      <c r="H40" s="69"/>
      <c r="I40" s="69"/>
      <c r="J40" s="69"/>
      <c r="K40" s="84" t="s">
        <v>382</v>
      </c>
      <c r="L40" s="69"/>
      <c r="M40" s="45" t="s">
        <v>535</v>
      </c>
      <c r="N40" s="85">
        <v>53</v>
      </c>
      <c r="O40" s="69"/>
      <c r="P40" s="69"/>
      <c r="Q40" s="85">
        <v>50</v>
      </c>
      <c r="R40" s="45" t="s">
        <v>538</v>
      </c>
      <c r="S40" s="69"/>
      <c r="T40" s="86" t="s">
        <v>484</v>
      </c>
      <c r="U40" s="87" t="s">
        <v>489</v>
      </c>
      <c r="V40" s="69"/>
      <c r="W40" s="69"/>
      <c r="X40" s="69"/>
      <c r="Y40" s="83">
        <v>5.1388888888888894E-2</v>
      </c>
      <c r="Z40" s="69"/>
      <c r="AA40" s="78">
        <v>4.28</v>
      </c>
      <c r="AB40" s="69" t="s">
        <v>324</v>
      </c>
      <c r="AC40" s="73" t="s">
        <v>623</v>
      </c>
      <c r="AD40" s="70"/>
    </row>
    <row r="41" spans="1:30">
      <c r="A41" s="69"/>
      <c r="B41" s="73" t="s">
        <v>624</v>
      </c>
      <c r="C41" s="69" t="s">
        <v>325</v>
      </c>
      <c r="D41" s="78">
        <v>4.29</v>
      </c>
      <c r="E41" s="69"/>
      <c r="F41" s="83">
        <v>5.2083333333333336E-2</v>
      </c>
      <c r="G41" s="69"/>
      <c r="H41" s="69"/>
      <c r="I41" s="69"/>
      <c r="J41" s="87" t="s">
        <v>488</v>
      </c>
      <c r="K41" s="69"/>
      <c r="L41" s="69"/>
      <c r="M41" s="45" t="s">
        <v>526</v>
      </c>
      <c r="N41" s="85">
        <v>54</v>
      </c>
      <c r="O41" s="69"/>
      <c r="P41" s="69"/>
      <c r="Q41" s="85">
        <v>49</v>
      </c>
      <c r="R41" s="45" t="s">
        <v>539</v>
      </c>
      <c r="S41" s="69"/>
      <c r="T41" s="69"/>
      <c r="U41" s="87" t="s">
        <v>491</v>
      </c>
      <c r="V41" s="69"/>
      <c r="W41" s="69"/>
      <c r="X41" s="69"/>
      <c r="Y41" s="83">
        <v>5.0694444444444452E-2</v>
      </c>
      <c r="Z41" s="69"/>
      <c r="AA41" s="78">
        <v>4.2699999999999996</v>
      </c>
      <c r="AB41" s="69" t="s">
        <v>323</v>
      </c>
      <c r="AC41" s="73" t="s">
        <v>620</v>
      </c>
      <c r="AD41" s="70"/>
    </row>
    <row r="42" spans="1:30">
      <c r="A42" s="69"/>
      <c r="B42" s="69"/>
      <c r="C42" s="69"/>
      <c r="D42" s="78"/>
      <c r="E42" s="69"/>
      <c r="F42" s="69"/>
      <c r="G42" s="69"/>
      <c r="H42" s="69"/>
      <c r="I42" s="69"/>
      <c r="J42" s="69"/>
      <c r="K42" s="69"/>
      <c r="L42" s="197" t="s">
        <v>405</v>
      </c>
      <c r="M42" s="197"/>
      <c r="N42" s="197"/>
      <c r="O42" s="69"/>
      <c r="P42" s="69" t="s">
        <v>482</v>
      </c>
      <c r="Q42" s="85">
        <v>48</v>
      </c>
      <c r="R42" s="45" t="s">
        <v>536</v>
      </c>
      <c r="S42" s="69"/>
      <c r="T42" s="84" t="s">
        <v>420</v>
      </c>
      <c r="U42" s="69"/>
      <c r="V42" s="69"/>
      <c r="W42" s="69"/>
      <c r="X42" s="69"/>
      <c r="Y42" s="69"/>
      <c r="Z42" s="69"/>
      <c r="AA42" s="78">
        <v>4.24</v>
      </c>
      <c r="AB42" s="78" t="s">
        <v>181</v>
      </c>
      <c r="AC42" s="73" t="s">
        <v>619</v>
      </c>
      <c r="AD42" s="70"/>
    </row>
  </sheetData>
  <mergeCells count="12">
    <mergeCell ref="L2:N2"/>
    <mergeCell ref="Q2:T2"/>
    <mergeCell ref="Q3:T3"/>
    <mergeCell ref="Q4:T4"/>
    <mergeCell ref="L42:N42"/>
    <mergeCell ref="L37:N37"/>
    <mergeCell ref="Q39:T39"/>
    <mergeCell ref="Q34:T34"/>
    <mergeCell ref="L16:N16"/>
    <mergeCell ref="Q16:T16"/>
    <mergeCell ref="L30:N30"/>
    <mergeCell ref="Q31:S31"/>
  </mergeCells>
  <phoneticPr fontId="6" type="noConversion"/>
  <pageMargins left="0.7" right="0.7" top="0.75" bottom="0.75" header="0.3" footer="0.3"/>
  <pageSetup scale="68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514E-45F9-4D23-9618-624D84C32829}">
  <sheetPr>
    <pageSetUpPr fitToPage="1"/>
  </sheetPr>
  <dimension ref="A1:O54"/>
  <sheetViews>
    <sheetView workbookViewId="0">
      <selection activeCell="F30" sqref="F30"/>
    </sheetView>
  </sheetViews>
  <sheetFormatPr defaultRowHeight="15"/>
  <cols>
    <col min="1" max="1" width="9.140625" style="2" customWidth="1"/>
    <col min="2" max="2" width="12.42578125" style="2" customWidth="1"/>
    <col min="3" max="3" width="12" style="2" customWidth="1"/>
    <col min="4" max="4" width="11.42578125" style="2" customWidth="1"/>
    <col min="5" max="5" width="14.5703125" style="2" customWidth="1"/>
    <col min="6" max="6" width="12.7109375" style="2" bestFit="1" customWidth="1"/>
    <col min="7" max="7" width="31.85546875" style="2" bestFit="1" customWidth="1"/>
    <col min="8" max="8" width="16" style="2" bestFit="1" customWidth="1"/>
    <col min="9" max="9" width="9.5703125" style="2" bestFit="1" customWidth="1"/>
    <col min="10" max="10" width="13.42578125" style="2" bestFit="1" customWidth="1"/>
    <col min="11" max="11" width="8" style="2" bestFit="1" customWidth="1"/>
    <col min="12" max="12" width="12" style="2" bestFit="1" customWidth="1"/>
    <col min="13" max="13" width="11.7109375" style="2" bestFit="1" customWidth="1"/>
    <col min="14" max="14" width="18.85546875" style="2" customWidth="1"/>
    <col min="15" max="15" width="15.42578125" bestFit="1" customWidth="1"/>
  </cols>
  <sheetData>
    <row r="1" spans="1:15">
      <c r="A1" s="2" t="s">
        <v>1</v>
      </c>
      <c r="B1" s="2" t="s">
        <v>1109</v>
      </c>
      <c r="C1" s="2" t="s">
        <v>1225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605</v>
      </c>
    </row>
    <row r="2" spans="1:15">
      <c r="A2" s="2" t="s">
        <v>1288</v>
      </c>
      <c r="B2" s="2" t="s">
        <v>1134</v>
      </c>
      <c r="C2" s="2" t="s">
        <v>1226</v>
      </c>
      <c r="D2" s="2" t="s">
        <v>17</v>
      </c>
      <c r="E2" s="2" t="s">
        <v>18</v>
      </c>
      <c r="F2" s="2" t="s">
        <v>238</v>
      </c>
      <c r="G2" s="2" t="s">
        <v>0</v>
      </c>
      <c r="H2" s="2" t="s">
        <v>261</v>
      </c>
      <c r="I2" s="2" t="s">
        <v>19</v>
      </c>
      <c r="J2" s="2" t="s">
        <v>20</v>
      </c>
      <c r="K2" s="2" t="s">
        <v>0</v>
      </c>
      <c r="L2" s="2" t="s">
        <v>21</v>
      </c>
      <c r="M2" s="2" t="s">
        <v>0</v>
      </c>
      <c r="N2" s="2" t="s">
        <v>0</v>
      </c>
      <c r="O2" s="2"/>
    </row>
    <row r="3" spans="1:15">
      <c r="A3" s="2" t="s">
        <v>1289</v>
      </c>
      <c r="B3" s="2" t="s">
        <v>1133</v>
      </c>
      <c r="C3" s="2" t="s">
        <v>1226</v>
      </c>
      <c r="D3" s="2" t="s">
        <v>23</v>
      </c>
      <c r="E3" s="2" t="s">
        <v>24</v>
      </c>
      <c r="F3" s="2" t="s">
        <v>239</v>
      </c>
      <c r="G3" s="2" t="s">
        <v>0</v>
      </c>
      <c r="H3" s="2" t="s">
        <v>262</v>
      </c>
      <c r="I3" s="2" t="s">
        <v>25</v>
      </c>
      <c r="J3" s="2" t="s">
        <v>26</v>
      </c>
      <c r="K3" s="2" t="s">
        <v>0</v>
      </c>
      <c r="L3" s="2" t="s">
        <v>27</v>
      </c>
      <c r="M3" s="2" t="s">
        <v>0</v>
      </c>
      <c r="N3" s="2" t="s">
        <v>0</v>
      </c>
      <c r="O3" s="2"/>
    </row>
    <row r="4" spans="1:15">
      <c r="A4" s="2" t="s">
        <v>1290</v>
      </c>
      <c r="B4" s="2" t="s">
        <v>352</v>
      </c>
      <c r="C4" s="2" t="s">
        <v>1226</v>
      </c>
      <c r="D4" s="2" t="s">
        <v>29</v>
      </c>
      <c r="E4" s="2" t="s">
        <v>30</v>
      </c>
      <c r="F4" s="2" t="s">
        <v>0</v>
      </c>
      <c r="G4" s="2" t="s">
        <v>0</v>
      </c>
      <c r="H4" s="2" t="s">
        <v>0</v>
      </c>
      <c r="I4" s="2" t="s">
        <v>31</v>
      </c>
      <c r="J4" s="2" t="s">
        <v>0</v>
      </c>
      <c r="K4" s="2" t="s">
        <v>32</v>
      </c>
      <c r="L4" s="2" t="s">
        <v>33</v>
      </c>
      <c r="M4" s="2" t="s">
        <v>34</v>
      </c>
      <c r="N4" s="2" t="s">
        <v>0</v>
      </c>
      <c r="O4" s="2"/>
    </row>
    <row r="5" spans="1:15">
      <c r="A5" s="2" t="s">
        <v>1291</v>
      </c>
      <c r="B5" s="2" t="s">
        <v>186</v>
      </c>
      <c r="C5" s="2" t="s">
        <v>1226</v>
      </c>
      <c r="D5" s="2" t="s">
        <v>36</v>
      </c>
      <c r="E5" s="2" t="s">
        <v>37</v>
      </c>
      <c r="F5" s="2" t="s">
        <v>0</v>
      </c>
      <c r="G5" s="2" t="s">
        <v>0</v>
      </c>
      <c r="H5" s="2" t="s">
        <v>0</v>
      </c>
      <c r="I5" s="2" t="s">
        <v>38</v>
      </c>
      <c r="J5" s="2" t="s">
        <v>0</v>
      </c>
      <c r="K5" s="2" t="s">
        <v>39</v>
      </c>
      <c r="L5" s="2" t="s">
        <v>40</v>
      </c>
      <c r="M5" s="2" t="s">
        <v>41</v>
      </c>
      <c r="N5" s="2" t="s">
        <v>0</v>
      </c>
      <c r="O5" s="2"/>
    </row>
    <row r="6" spans="1:15">
      <c r="A6" s="2" t="s">
        <v>1292</v>
      </c>
      <c r="B6" s="2" t="s">
        <v>73</v>
      </c>
      <c r="C6" s="2" t="s">
        <v>1226</v>
      </c>
      <c r="D6" s="2" t="s">
        <v>43</v>
      </c>
      <c r="E6" s="2" t="s">
        <v>44</v>
      </c>
      <c r="F6" s="2" t="s">
        <v>0</v>
      </c>
      <c r="G6" s="2" t="s">
        <v>0</v>
      </c>
      <c r="H6" s="2" t="s">
        <v>0</v>
      </c>
      <c r="I6" s="2" t="s">
        <v>45</v>
      </c>
      <c r="J6" s="2" t="s">
        <v>0</v>
      </c>
      <c r="K6" s="2" t="s">
        <v>46</v>
      </c>
      <c r="L6" s="2" t="s">
        <v>47</v>
      </c>
      <c r="M6" s="2" t="s">
        <v>48</v>
      </c>
      <c r="N6" s="2" t="s">
        <v>0</v>
      </c>
      <c r="O6" s="2"/>
    </row>
    <row r="7" spans="1:15">
      <c r="A7" s="2" t="s">
        <v>1284</v>
      </c>
      <c r="B7" s="2" t="s">
        <v>1132</v>
      </c>
      <c r="C7" s="2" t="s">
        <v>1226</v>
      </c>
      <c r="D7" s="2" t="s">
        <v>193</v>
      </c>
      <c r="E7" s="2" t="s">
        <v>194</v>
      </c>
      <c r="F7" s="2" t="s">
        <v>0</v>
      </c>
      <c r="G7" s="2" t="s">
        <v>0</v>
      </c>
      <c r="H7" s="2" t="s">
        <v>0</v>
      </c>
      <c r="I7" s="2" t="s">
        <v>195</v>
      </c>
      <c r="J7" s="2" t="s">
        <v>0</v>
      </c>
      <c r="K7" s="2" t="s">
        <v>196</v>
      </c>
      <c r="L7" s="2" t="s">
        <v>21</v>
      </c>
      <c r="M7" s="2" t="s">
        <v>197</v>
      </c>
      <c r="N7" s="2" t="s">
        <v>0</v>
      </c>
      <c r="O7" s="2"/>
    </row>
    <row r="8" spans="1:15">
      <c r="A8" s="2" t="s">
        <v>1285</v>
      </c>
      <c r="B8" s="2" t="s">
        <v>1138</v>
      </c>
      <c r="C8" s="2" t="s">
        <v>1226</v>
      </c>
      <c r="D8" s="2" t="s">
        <v>64</v>
      </c>
      <c r="E8" s="2" t="s">
        <v>65</v>
      </c>
      <c r="F8" s="2" t="s">
        <v>0</v>
      </c>
      <c r="G8" s="2" t="s">
        <v>0</v>
      </c>
      <c r="H8" s="2" t="s">
        <v>0</v>
      </c>
      <c r="I8" s="2" t="s">
        <v>344</v>
      </c>
      <c r="K8" s="2" t="s">
        <v>66</v>
      </c>
      <c r="M8" s="2" t="s">
        <v>67</v>
      </c>
      <c r="O8" s="2" t="s">
        <v>616</v>
      </c>
    </row>
    <row r="9" spans="1:15">
      <c r="A9" s="2" t="s">
        <v>1286</v>
      </c>
      <c r="B9" s="2" t="s">
        <v>1118</v>
      </c>
      <c r="D9" s="2" t="s">
        <v>54</v>
      </c>
      <c r="E9" s="2" t="s">
        <v>55</v>
      </c>
      <c r="F9" s="2" t="s">
        <v>1217</v>
      </c>
      <c r="G9" s="2" t="s">
        <v>0</v>
      </c>
      <c r="H9" s="2" t="s">
        <v>0</v>
      </c>
      <c r="I9" s="2" t="s">
        <v>56</v>
      </c>
      <c r="J9" s="2" t="s">
        <v>0</v>
      </c>
      <c r="K9" s="2" t="s">
        <v>57</v>
      </c>
      <c r="L9" s="2" t="s">
        <v>58</v>
      </c>
      <c r="M9" s="2" t="s">
        <v>233</v>
      </c>
      <c r="O9" s="2"/>
    </row>
    <row r="10" spans="1:15">
      <c r="A10" s="2" t="s">
        <v>1287</v>
      </c>
      <c r="B10" s="2" t="s">
        <v>360</v>
      </c>
      <c r="D10" s="2" t="s">
        <v>59</v>
      </c>
      <c r="E10" s="2" t="s">
        <v>60</v>
      </c>
      <c r="F10" s="2" t="s">
        <v>1218</v>
      </c>
      <c r="G10" s="2" t="s">
        <v>0</v>
      </c>
      <c r="H10" s="2" t="s">
        <v>0</v>
      </c>
      <c r="I10" s="2" t="s">
        <v>61</v>
      </c>
      <c r="J10" s="2" t="s">
        <v>0</v>
      </c>
      <c r="K10" s="2" t="s">
        <v>62</v>
      </c>
      <c r="L10" s="2" t="s">
        <v>63</v>
      </c>
      <c r="M10" s="2" t="s">
        <v>232</v>
      </c>
      <c r="O10" s="2"/>
    </row>
    <row r="11" spans="1:15">
      <c r="A11" s="2" t="s">
        <v>1293</v>
      </c>
      <c r="B11" s="2" t="s">
        <v>1135</v>
      </c>
      <c r="C11" s="2" t="s">
        <v>1226</v>
      </c>
      <c r="D11" s="2" t="s">
        <v>69</v>
      </c>
      <c r="E11" s="2" t="s">
        <v>70</v>
      </c>
      <c r="F11" s="2" t="s">
        <v>0</v>
      </c>
      <c r="G11" s="2" t="s">
        <v>0</v>
      </c>
      <c r="H11" s="2" t="s">
        <v>0</v>
      </c>
      <c r="I11" s="2" t="s">
        <v>503</v>
      </c>
      <c r="K11" s="2" t="s">
        <v>71</v>
      </c>
      <c r="M11" s="2" t="s">
        <v>72</v>
      </c>
      <c r="O11" s="2" t="s">
        <v>617</v>
      </c>
    </row>
    <row r="12" spans="1:15">
      <c r="A12" s="2" t="s">
        <v>73</v>
      </c>
      <c r="B12" s="2" t="s">
        <v>1131</v>
      </c>
      <c r="C12" s="2" t="s">
        <v>1230</v>
      </c>
      <c r="D12" s="2" t="s">
        <v>74</v>
      </c>
      <c r="E12" s="2" t="s">
        <v>75</v>
      </c>
      <c r="F12" s="2" t="s">
        <v>0</v>
      </c>
      <c r="G12" s="2" t="s">
        <v>0</v>
      </c>
      <c r="H12" s="2" t="s">
        <v>255</v>
      </c>
      <c r="I12" s="2" t="s">
        <v>76</v>
      </c>
      <c r="J12" s="2" t="s">
        <v>0</v>
      </c>
      <c r="K12" s="2" t="s">
        <v>77</v>
      </c>
      <c r="L12" s="2" t="s">
        <v>0</v>
      </c>
      <c r="M12" s="2" t="s">
        <v>78</v>
      </c>
      <c r="N12" s="2" t="s">
        <v>0</v>
      </c>
      <c r="O12" s="2" t="s">
        <v>606</v>
      </c>
    </row>
    <row r="13" spans="1:15">
      <c r="A13" s="2" t="s">
        <v>79</v>
      </c>
      <c r="B13" s="2" t="s">
        <v>1129</v>
      </c>
      <c r="C13" s="2" t="s">
        <v>1226</v>
      </c>
      <c r="D13" s="2" t="s">
        <v>80</v>
      </c>
      <c r="E13" s="2" t="s">
        <v>81</v>
      </c>
      <c r="F13" s="2" t="s">
        <v>0</v>
      </c>
      <c r="G13" s="2" t="s">
        <v>0</v>
      </c>
      <c r="H13" s="2" t="s">
        <v>256</v>
      </c>
      <c r="I13" s="2" t="s">
        <v>82</v>
      </c>
      <c r="J13" s="2" t="s">
        <v>83</v>
      </c>
      <c r="K13" s="2" t="s">
        <v>0</v>
      </c>
      <c r="L13" s="2" t="s">
        <v>0</v>
      </c>
      <c r="M13" s="2" t="s">
        <v>84</v>
      </c>
      <c r="N13" s="2" t="s">
        <v>0</v>
      </c>
      <c r="O13" s="2" t="s">
        <v>608</v>
      </c>
    </row>
    <row r="14" spans="1:15">
      <c r="A14" s="2" t="s">
        <v>85</v>
      </c>
      <c r="B14" s="2" t="s">
        <v>1130</v>
      </c>
      <c r="C14" s="2" t="s">
        <v>1226</v>
      </c>
      <c r="D14" s="2" t="s">
        <v>86</v>
      </c>
      <c r="E14" s="2" t="s">
        <v>87</v>
      </c>
      <c r="F14" s="2" t="s">
        <v>0</v>
      </c>
      <c r="G14" s="2" t="s">
        <v>0</v>
      </c>
      <c r="H14" s="2" t="s">
        <v>257</v>
      </c>
      <c r="I14" s="2" t="s">
        <v>88</v>
      </c>
      <c r="J14" s="2" t="s">
        <v>0</v>
      </c>
      <c r="K14" s="2" t="s">
        <v>89</v>
      </c>
      <c r="L14" s="2" t="s">
        <v>0</v>
      </c>
      <c r="M14" s="2" t="s">
        <v>90</v>
      </c>
      <c r="N14" s="2" t="s">
        <v>0</v>
      </c>
      <c r="O14" s="2" t="s">
        <v>607</v>
      </c>
    </row>
    <row r="15" spans="1:15">
      <c r="A15" s="2" t="s">
        <v>91</v>
      </c>
      <c r="B15" s="2" t="s">
        <v>1128</v>
      </c>
      <c r="C15" s="2" t="s">
        <v>1226</v>
      </c>
      <c r="D15" s="2" t="s">
        <v>92</v>
      </c>
      <c r="E15" s="2" t="s">
        <v>93</v>
      </c>
      <c r="F15" s="2" t="s">
        <v>0</v>
      </c>
      <c r="G15" s="2" t="s">
        <v>0</v>
      </c>
      <c r="H15" s="2" t="s">
        <v>258</v>
      </c>
      <c r="I15" s="2" t="s">
        <v>94</v>
      </c>
      <c r="J15" s="2" t="s">
        <v>95</v>
      </c>
      <c r="K15" s="2" t="s">
        <v>0</v>
      </c>
      <c r="L15" s="2" t="s">
        <v>0</v>
      </c>
      <c r="M15" s="2" t="s">
        <v>96</v>
      </c>
      <c r="N15" s="2" t="s">
        <v>0</v>
      </c>
      <c r="O15" s="2" t="s">
        <v>609</v>
      </c>
    </row>
    <row r="16" spans="1:15">
      <c r="A16" s="2" t="s">
        <v>97</v>
      </c>
      <c r="B16" s="2" t="s">
        <v>210</v>
      </c>
      <c r="C16" s="2" t="s">
        <v>1226</v>
      </c>
      <c r="D16" s="2" t="s">
        <v>98</v>
      </c>
      <c r="E16" s="2" t="s">
        <v>99</v>
      </c>
      <c r="F16" s="2" t="s">
        <v>242</v>
      </c>
      <c r="G16" s="2" t="s">
        <v>0</v>
      </c>
      <c r="H16" s="2" t="s">
        <v>0</v>
      </c>
      <c r="I16" s="2" t="s">
        <v>100</v>
      </c>
      <c r="J16" s="2" t="s">
        <v>0</v>
      </c>
      <c r="K16" s="2" t="s">
        <v>101</v>
      </c>
      <c r="L16" s="2" t="s">
        <v>0</v>
      </c>
      <c r="M16" s="2" t="s">
        <v>102</v>
      </c>
      <c r="N16" s="2" t="s">
        <v>269</v>
      </c>
      <c r="O16" s="2"/>
    </row>
    <row r="17" spans="1:15">
      <c r="A17" s="2" t="s">
        <v>103</v>
      </c>
      <c r="B17" s="2" t="s">
        <v>573</v>
      </c>
      <c r="C17" s="2" t="s">
        <v>1226</v>
      </c>
      <c r="D17" s="2" t="s">
        <v>104</v>
      </c>
      <c r="E17" s="2" t="s">
        <v>105</v>
      </c>
      <c r="F17" s="2" t="s">
        <v>243</v>
      </c>
      <c r="G17" s="2" t="s">
        <v>0</v>
      </c>
      <c r="H17" s="2" t="s">
        <v>0</v>
      </c>
      <c r="I17" s="2" t="s">
        <v>106</v>
      </c>
      <c r="J17" s="2" t="s">
        <v>0</v>
      </c>
      <c r="K17" s="2" t="s">
        <v>107</v>
      </c>
      <c r="L17" s="2" t="s">
        <v>0</v>
      </c>
      <c r="M17" s="2" t="s">
        <v>108</v>
      </c>
      <c r="N17" s="2" t="s">
        <v>270</v>
      </c>
      <c r="O17" s="2"/>
    </row>
    <row r="18" spans="1:15">
      <c r="A18" s="2" t="s">
        <v>109</v>
      </c>
      <c r="B18" s="2" t="s">
        <v>1123</v>
      </c>
      <c r="C18" s="2" t="s">
        <v>1226</v>
      </c>
      <c r="D18" s="2" t="s">
        <v>110</v>
      </c>
      <c r="E18" s="2" t="s">
        <v>111</v>
      </c>
      <c r="F18" s="2" t="s">
        <v>1219</v>
      </c>
      <c r="G18" s="2" t="s">
        <v>1221</v>
      </c>
      <c r="H18" s="2" t="s">
        <v>0</v>
      </c>
      <c r="I18" s="2" t="s">
        <v>0</v>
      </c>
      <c r="J18" s="2" t="s">
        <v>0</v>
      </c>
      <c r="K18" s="2" t="s">
        <v>112</v>
      </c>
      <c r="L18" s="2" t="s">
        <v>0</v>
      </c>
      <c r="M18" s="2" t="s">
        <v>113</v>
      </c>
      <c r="N18" s="2" t="s">
        <v>271</v>
      </c>
      <c r="O18" s="30" t="s">
        <v>364</v>
      </c>
    </row>
    <row r="19" spans="1:15">
      <c r="A19" s="2" t="s">
        <v>114</v>
      </c>
      <c r="B19" s="2" t="s">
        <v>1136</v>
      </c>
      <c r="C19" s="2" t="s">
        <v>1226</v>
      </c>
      <c r="D19" s="2" t="s">
        <v>115</v>
      </c>
      <c r="E19" s="2" t="s">
        <v>116</v>
      </c>
      <c r="F19" s="2" t="s">
        <v>1220</v>
      </c>
      <c r="G19" s="2" t="s">
        <v>1222</v>
      </c>
      <c r="H19" s="2" t="s">
        <v>0</v>
      </c>
      <c r="I19" s="2" t="s">
        <v>0</v>
      </c>
      <c r="J19" s="2" t="s">
        <v>0</v>
      </c>
      <c r="K19" s="2" t="s">
        <v>117</v>
      </c>
      <c r="L19" s="2" t="s">
        <v>0</v>
      </c>
      <c r="M19" s="2" t="s">
        <v>118</v>
      </c>
      <c r="N19" s="2" t="s">
        <v>272</v>
      </c>
      <c r="O19" s="30" t="s">
        <v>363</v>
      </c>
    </row>
    <row r="20" spans="1:15">
      <c r="A20" s="2" t="s">
        <v>119</v>
      </c>
      <c r="B20" s="2" t="s">
        <v>85</v>
      </c>
      <c r="C20" s="2" t="s">
        <v>1226</v>
      </c>
      <c r="D20" s="2" t="s">
        <v>120</v>
      </c>
      <c r="E20" s="2" t="s">
        <v>121</v>
      </c>
      <c r="F20" s="2" t="s">
        <v>286</v>
      </c>
      <c r="G20" s="2" t="s">
        <v>279</v>
      </c>
      <c r="H20" s="2" t="s">
        <v>0</v>
      </c>
      <c r="I20" s="2" t="s">
        <v>122</v>
      </c>
      <c r="J20" s="2" t="s">
        <v>0</v>
      </c>
      <c r="K20" s="2" t="s">
        <v>0</v>
      </c>
      <c r="L20" s="2" t="s">
        <v>0</v>
      </c>
      <c r="M20" s="2" t="s">
        <v>123</v>
      </c>
      <c r="N20" s="2" t="s">
        <v>273</v>
      </c>
      <c r="O20" s="2"/>
    </row>
    <row r="21" spans="1:15">
      <c r="A21" s="2" t="s">
        <v>124</v>
      </c>
      <c r="B21" s="2" t="s">
        <v>1119</v>
      </c>
      <c r="C21" s="2" t="s">
        <v>1226</v>
      </c>
      <c r="D21" s="2" t="s">
        <v>125</v>
      </c>
      <c r="E21" s="2" t="s">
        <v>126</v>
      </c>
      <c r="F21" s="2" t="s">
        <v>244</v>
      </c>
      <c r="G21" s="2" t="s">
        <v>280</v>
      </c>
      <c r="H21" s="2" t="s">
        <v>0</v>
      </c>
      <c r="I21" s="2" t="s">
        <v>127</v>
      </c>
      <c r="J21" s="2" t="s">
        <v>0</v>
      </c>
      <c r="K21" s="2" t="s">
        <v>0</v>
      </c>
      <c r="L21" s="2" t="s">
        <v>0</v>
      </c>
      <c r="M21" s="2" t="s">
        <v>128</v>
      </c>
      <c r="N21" s="2" t="s">
        <v>274</v>
      </c>
      <c r="O21" s="2"/>
    </row>
    <row r="22" spans="1:15">
      <c r="A22" s="2" t="s">
        <v>129</v>
      </c>
      <c r="B22" s="2" t="s">
        <v>358</v>
      </c>
      <c r="D22" s="2" t="s">
        <v>130</v>
      </c>
      <c r="E22" s="2" t="s">
        <v>131</v>
      </c>
      <c r="F22" s="2" t="s">
        <v>247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132</v>
      </c>
      <c r="L22" s="2" t="s">
        <v>0</v>
      </c>
      <c r="M22" s="2" t="s">
        <v>133</v>
      </c>
      <c r="N22" s="2" t="s">
        <v>275</v>
      </c>
      <c r="O22" s="2"/>
    </row>
    <row r="23" spans="1:15">
      <c r="A23" s="2" t="s">
        <v>134</v>
      </c>
      <c r="B23" s="2" t="s">
        <v>356</v>
      </c>
      <c r="D23" s="2" t="s">
        <v>135</v>
      </c>
      <c r="E23" s="2" t="s">
        <v>136</v>
      </c>
      <c r="F23" s="2" t="s">
        <v>248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137</v>
      </c>
      <c r="L23" s="2" t="s">
        <v>0</v>
      </c>
      <c r="M23" s="2" t="s">
        <v>138</v>
      </c>
      <c r="N23" s="2" t="s">
        <v>276</v>
      </c>
      <c r="O23" s="2"/>
    </row>
    <row r="24" spans="1:15">
      <c r="A24" s="2" t="s">
        <v>139</v>
      </c>
      <c r="B24" s="2" t="s">
        <v>355</v>
      </c>
      <c r="C24" s="2" t="s">
        <v>1226</v>
      </c>
      <c r="D24" s="2" t="s">
        <v>140</v>
      </c>
      <c r="E24" s="2" t="s">
        <v>141</v>
      </c>
      <c r="F24" s="2" t="s">
        <v>0</v>
      </c>
      <c r="G24" s="2" t="s">
        <v>0</v>
      </c>
      <c r="H24" s="2" t="s">
        <v>0</v>
      </c>
      <c r="I24" s="2" t="s">
        <v>142</v>
      </c>
      <c r="J24" s="2" t="s">
        <v>83</v>
      </c>
      <c r="K24" s="2" t="s">
        <v>0</v>
      </c>
      <c r="L24" s="2" t="s">
        <v>0</v>
      </c>
      <c r="M24" s="2" t="s">
        <v>143</v>
      </c>
      <c r="N24" s="2" t="s">
        <v>277</v>
      </c>
      <c r="O24" s="30" t="s">
        <v>365</v>
      </c>
    </row>
    <row r="25" spans="1:15">
      <c r="A25" s="2" t="s">
        <v>144</v>
      </c>
      <c r="B25" s="2" t="s">
        <v>1117</v>
      </c>
      <c r="D25" s="2" t="s">
        <v>145</v>
      </c>
      <c r="E25" s="2" t="s">
        <v>146</v>
      </c>
      <c r="F25" s="2" t="s">
        <v>0</v>
      </c>
      <c r="G25" s="2" t="s">
        <v>0</v>
      </c>
      <c r="H25" s="2" t="s">
        <v>0</v>
      </c>
      <c r="I25" s="2" t="s">
        <v>147</v>
      </c>
      <c r="J25" s="2" t="s">
        <v>95</v>
      </c>
      <c r="K25" s="2" t="s">
        <v>148</v>
      </c>
      <c r="L25" s="2" t="s">
        <v>0</v>
      </c>
      <c r="M25" s="2" t="s">
        <v>149</v>
      </c>
      <c r="N25" s="2" t="s">
        <v>278</v>
      </c>
      <c r="O25" s="30" t="s">
        <v>366</v>
      </c>
    </row>
    <row r="26" spans="1:15">
      <c r="A26" s="2" t="s">
        <v>151</v>
      </c>
      <c r="B26" s="2" t="s">
        <v>359</v>
      </c>
      <c r="D26" s="2" t="s">
        <v>152</v>
      </c>
      <c r="E26" s="2" t="s">
        <v>153</v>
      </c>
      <c r="F26" s="2" t="s">
        <v>251</v>
      </c>
      <c r="G26" s="2" t="s">
        <v>1223</v>
      </c>
      <c r="H26" s="2" t="s">
        <v>0</v>
      </c>
      <c r="I26" s="2" t="s">
        <v>154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155</v>
      </c>
      <c r="O26" s="2"/>
    </row>
    <row r="27" spans="1:15">
      <c r="A27" s="2" t="s">
        <v>156</v>
      </c>
      <c r="B27" s="2" t="s">
        <v>357</v>
      </c>
      <c r="D27" s="2" t="s">
        <v>157</v>
      </c>
      <c r="E27" s="2" t="s">
        <v>158</v>
      </c>
      <c r="F27" s="2" t="s">
        <v>252</v>
      </c>
      <c r="G27" s="2" t="s">
        <v>1224</v>
      </c>
      <c r="H27" s="2" t="s">
        <v>0</v>
      </c>
      <c r="I27" s="2" t="s">
        <v>159</v>
      </c>
      <c r="J27" s="2" t="s">
        <v>160</v>
      </c>
      <c r="K27" s="2" t="s">
        <v>0</v>
      </c>
      <c r="L27" s="2" t="s">
        <v>0</v>
      </c>
      <c r="M27" s="2" t="s">
        <v>0</v>
      </c>
      <c r="N27" s="2" t="s">
        <v>161</v>
      </c>
      <c r="O27" s="2"/>
    </row>
    <row r="28" spans="1:15">
      <c r="A28" s="2" t="s">
        <v>162</v>
      </c>
      <c r="B28" s="2" t="s">
        <v>1139</v>
      </c>
      <c r="D28" s="2" t="s">
        <v>163</v>
      </c>
      <c r="E28" s="2" t="s">
        <v>164</v>
      </c>
      <c r="F28" s="2" t="s">
        <v>0</v>
      </c>
      <c r="G28" s="2" t="s">
        <v>0</v>
      </c>
      <c r="H28" s="2" t="s">
        <v>259</v>
      </c>
      <c r="I28" s="2" t="s">
        <v>0</v>
      </c>
      <c r="J28" s="2" t="s">
        <v>0</v>
      </c>
      <c r="K28" s="2" t="s">
        <v>165</v>
      </c>
      <c r="L28" s="2" t="s">
        <v>0</v>
      </c>
      <c r="M28" s="2" t="s">
        <v>208</v>
      </c>
      <c r="N28" s="2" t="s">
        <v>166</v>
      </c>
      <c r="O28" s="2"/>
    </row>
    <row r="29" spans="1:15">
      <c r="A29" s="2" t="s">
        <v>167</v>
      </c>
      <c r="B29" s="2" t="s">
        <v>1142</v>
      </c>
      <c r="D29" s="2" t="s">
        <v>168</v>
      </c>
      <c r="E29" s="2" t="s">
        <v>169</v>
      </c>
      <c r="F29" s="2" t="s">
        <v>0</v>
      </c>
      <c r="G29" s="2" t="s">
        <v>0</v>
      </c>
      <c r="H29" s="2" t="s">
        <v>260</v>
      </c>
      <c r="I29" s="2" t="s">
        <v>0</v>
      </c>
      <c r="J29" s="2" t="s">
        <v>0</v>
      </c>
      <c r="K29" s="2" t="s">
        <v>170</v>
      </c>
      <c r="L29" s="2" t="s">
        <v>0</v>
      </c>
      <c r="M29" s="2" t="s">
        <v>209</v>
      </c>
      <c r="N29" s="2" t="s">
        <v>171</v>
      </c>
      <c r="O29" s="2"/>
    </row>
    <row r="30" spans="1:15">
      <c r="A30" s="2" t="s">
        <v>172</v>
      </c>
      <c r="B30" s="2" t="s">
        <v>1143</v>
      </c>
      <c r="D30" s="2" t="s">
        <v>173</v>
      </c>
      <c r="E30" s="2" t="s">
        <v>174</v>
      </c>
      <c r="F30" s="2" t="s">
        <v>253</v>
      </c>
      <c r="G30" s="2" t="s">
        <v>0</v>
      </c>
      <c r="H30" s="2" t="s">
        <v>0</v>
      </c>
      <c r="I30" s="2" t="s">
        <v>175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/>
    </row>
    <row r="31" spans="1:15">
      <c r="A31" s="2" t="s">
        <v>176</v>
      </c>
      <c r="B31" s="2" t="s">
        <v>1120</v>
      </c>
      <c r="C31" s="2" t="s">
        <v>1226</v>
      </c>
      <c r="D31" s="2" t="s">
        <v>177</v>
      </c>
      <c r="E31" s="2" t="s">
        <v>178</v>
      </c>
      <c r="F31" s="2" t="s">
        <v>254</v>
      </c>
      <c r="G31" s="2" t="s">
        <v>0</v>
      </c>
      <c r="H31" s="2" t="s">
        <v>285</v>
      </c>
      <c r="I31" s="2" t="s">
        <v>179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/>
    </row>
    <row r="32" spans="1:15">
      <c r="A32" s="2" t="s">
        <v>180</v>
      </c>
      <c r="B32" s="2" t="s">
        <v>576</v>
      </c>
      <c r="C32" s="2" t="s">
        <v>1231</v>
      </c>
      <c r="D32" s="2" t="s">
        <v>198</v>
      </c>
      <c r="E32" s="2">
        <v>3.23</v>
      </c>
      <c r="G32" s="2" t="s">
        <v>0</v>
      </c>
      <c r="H32" s="2" t="s">
        <v>0</v>
      </c>
      <c r="I32" s="2" t="s">
        <v>199</v>
      </c>
      <c r="J32" s="2" t="s">
        <v>200</v>
      </c>
      <c r="K32" s="2" t="s">
        <v>201</v>
      </c>
      <c r="L32" s="2" t="s">
        <v>207</v>
      </c>
      <c r="M32" s="2" t="s">
        <v>0</v>
      </c>
      <c r="N32" s="2" t="s">
        <v>0</v>
      </c>
      <c r="O32" s="2"/>
    </row>
    <row r="33" spans="1:15">
      <c r="A33" s="2" t="s">
        <v>184</v>
      </c>
      <c r="B33" s="2" t="s">
        <v>348</v>
      </c>
      <c r="C33" s="2" t="s">
        <v>1231</v>
      </c>
      <c r="D33" s="2" t="s">
        <v>202</v>
      </c>
      <c r="E33" s="2">
        <v>3.22</v>
      </c>
      <c r="G33" s="2" t="s">
        <v>0</v>
      </c>
      <c r="H33" s="2" t="s">
        <v>0</v>
      </c>
      <c r="I33" s="2" t="s">
        <v>203</v>
      </c>
      <c r="J33" s="2" t="s">
        <v>204</v>
      </c>
      <c r="K33" s="2" t="s">
        <v>205</v>
      </c>
      <c r="L33" s="2" t="s">
        <v>206</v>
      </c>
      <c r="M33" s="2" t="s">
        <v>0</v>
      </c>
      <c r="N33" s="2" t="s">
        <v>0</v>
      </c>
      <c r="O33" s="2"/>
    </row>
    <row r="34" spans="1:15">
      <c r="A34" s="2" t="s">
        <v>186</v>
      </c>
      <c r="B34" s="2" t="s">
        <v>1140</v>
      </c>
      <c r="D34" s="2" t="s">
        <v>187</v>
      </c>
      <c r="E34" s="2" t="s">
        <v>188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189</v>
      </c>
      <c r="L34" s="2" t="s">
        <v>190</v>
      </c>
      <c r="M34" s="2" t="s">
        <v>191</v>
      </c>
      <c r="N34" s="2" t="s">
        <v>0</v>
      </c>
      <c r="O34" s="2" t="s">
        <v>618</v>
      </c>
    </row>
    <row r="35" spans="1:15">
      <c r="A35" s="2" t="s">
        <v>192</v>
      </c>
      <c r="B35" s="2" t="s">
        <v>1141</v>
      </c>
      <c r="D35" s="2" t="s">
        <v>49</v>
      </c>
      <c r="E35" s="2">
        <v>4.7</v>
      </c>
      <c r="F35" s="2" t="s">
        <v>0</v>
      </c>
      <c r="G35" s="2" t="s">
        <v>0</v>
      </c>
      <c r="H35" s="2" t="s">
        <v>0</v>
      </c>
      <c r="I35" s="2" t="s">
        <v>50</v>
      </c>
      <c r="J35" s="2" t="s">
        <v>0</v>
      </c>
      <c r="K35" s="2" t="s">
        <v>51</v>
      </c>
      <c r="L35" s="2" t="s">
        <v>52</v>
      </c>
      <c r="M35" s="2" t="s">
        <v>53</v>
      </c>
      <c r="N35" s="2" t="s">
        <v>0</v>
      </c>
      <c r="O35" s="2"/>
    </row>
    <row r="36" spans="1:15">
      <c r="A36" s="2" t="s">
        <v>210</v>
      </c>
      <c r="B36" s="2" t="s">
        <v>1126</v>
      </c>
      <c r="C36" s="2" t="s">
        <v>1228</v>
      </c>
      <c r="D36" s="2" t="s">
        <v>222</v>
      </c>
      <c r="E36" s="2" t="s">
        <v>570</v>
      </c>
      <c r="F36" s="2" t="s">
        <v>249</v>
      </c>
      <c r="H36" s="2" t="s">
        <v>263</v>
      </c>
      <c r="I36" s="2" t="s">
        <v>235</v>
      </c>
      <c r="L36" s="2" t="s">
        <v>40</v>
      </c>
      <c r="O36" s="2" t="s">
        <v>213</v>
      </c>
    </row>
    <row r="37" spans="1:15">
      <c r="A37" s="2" t="s">
        <v>211</v>
      </c>
      <c r="B37" s="2" t="s">
        <v>1125</v>
      </c>
      <c r="D37" s="2" t="s">
        <v>221</v>
      </c>
      <c r="E37" s="2" t="s">
        <v>227</v>
      </c>
      <c r="F37" s="2" t="s">
        <v>250</v>
      </c>
      <c r="H37" s="2" t="s">
        <v>264</v>
      </c>
      <c r="I37" s="2" t="s">
        <v>234</v>
      </c>
      <c r="L37" s="2" t="s">
        <v>33</v>
      </c>
      <c r="O37" s="2" t="s">
        <v>214</v>
      </c>
    </row>
    <row r="38" spans="1:15">
      <c r="A38" s="2" t="s">
        <v>317</v>
      </c>
      <c r="B38" s="2" t="s">
        <v>1121</v>
      </c>
      <c r="C38" s="2" t="s">
        <v>1226</v>
      </c>
      <c r="D38" s="2" t="s">
        <v>220</v>
      </c>
      <c r="E38" s="2" t="s">
        <v>226</v>
      </c>
      <c r="G38" s="2" t="s">
        <v>1222</v>
      </c>
      <c r="H38" s="2" t="s">
        <v>265</v>
      </c>
      <c r="I38" s="2" t="s">
        <v>183</v>
      </c>
      <c r="L38" s="2" t="s">
        <v>230</v>
      </c>
      <c r="O38" s="2" t="s">
        <v>215</v>
      </c>
    </row>
    <row r="39" spans="1:15">
      <c r="A39" s="2" t="s">
        <v>318</v>
      </c>
      <c r="B39" s="2" t="s">
        <v>1124</v>
      </c>
      <c r="C39" s="2" t="s">
        <v>1226</v>
      </c>
      <c r="D39" s="2" t="s">
        <v>219</v>
      </c>
      <c r="E39" s="2" t="s">
        <v>225</v>
      </c>
      <c r="G39" s="2" t="s">
        <v>1221</v>
      </c>
      <c r="H39" s="2" t="s">
        <v>266</v>
      </c>
      <c r="I39" s="2" t="s">
        <v>185</v>
      </c>
      <c r="L39" s="2" t="s">
        <v>231</v>
      </c>
      <c r="O39" s="2" t="s">
        <v>216</v>
      </c>
    </row>
    <row r="40" spans="1:15">
      <c r="A40" s="2" t="s">
        <v>573</v>
      </c>
      <c r="B40" s="2" t="s">
        <v>1127</v>
      </c>
      <c r="C40" s="2" t="s">
        <v>1227</v>
      </c>
      <c r="D40" s="2" t="s">
        <v>223</v>
      </c>
      <c r="E40" s="2" t="s">
        <v>228</v>
      </c>
      <c r="F40" s="2" t="s">
        <v>247</v>
      </c>
      <c r="H40" s="2" t="s">
        <v>375</v>
      </c>
      <c r="I40" s="2" t="s">
        <v>236</v>
      </c>
      <c r="L40" s="2" t="s">
        <v>47</v>
      </c>
      <c r="O40" s="2" t="s">
        <v>218</v>
      </c>
    </row>
    <row r="41" spans="1:15">
      <c r="A41" s="2" t="s">
        <v>574</v>
      </c>
      <c r="B41" s="2" t="s">
        <v>1122</v>
      </c>
      <c r="C41" s="2" t="s">
        <v>1229</v>
      </c>
      <c r="D41" s="2" t="s">
        <v>224</v>
      </c>
      <c r="E41" s="2" t="s">
        <v>229</v>
      </c>
      <c r="F41" s="2" t="s">
        <v>248</v>
      </c>
      <c r="H41" s="2" t="s">
        <v>374</v>
      </c>
      <c r="I41" s="2" t="s">
        <v>237</v>
      </c>
      <c r="L41" s="2" t="s">
        <v>52</v>
      </c>
      <c r="O41" s="2" t="s">
        <v>217</v>
      </c>
    </row>
    <row r="42" spans="1:15">
      <c r="A42" s="2" t="s">
        <v>575</v>
      </c>
      <c r="B42" s="2" t="s">
        <v>575</v>
      </c>
      <c r="C42" s="2" t="s">
        <v>1226</v>
      </c>
      <c r="D42" t="s">
        <v>577</v>
      </c>
      <c r="E42" s="2" t="s">
        <v>583</v>
      </c>
      <c r="G42" s="2" t="s">
        <v>1215</v>
      </c>
      <c r="I42" s="2" t="s">
        <v>590</v>
      </c>
      <c r="M42" s="2" t="s">
        <v>591</v>
      </c>
      <c r="O42" s="2" t="s">
        <v>610</v>
      </c>
    </row>
    <row r="43" spans="1:15">
      <c r="A43" s="2" t="s">
        <v>576</v>
      </c>
      <c r="B43" s="2" t="s">
        <v>347</v>
      </c>
      <c r="C43" s="2" t="s">
        <v>1226</v>
      </c>
      <c r="D43" s="2" t="s">
        <v>578</v>
      </c>
      <c r="E43" s="2" t="s">
        <v>584</v>
      </c>
      <c r="G43" s="2" t="s">
        <v>1216</v>
      </c>
      <c r="I43" s="2" t="s">
        <v>592</v>
      </c>
      <c r="M43" s="2" t="s">
        <v>593</v>
      </c>
      <c r="O43" s="2" t="s">
        <v>611</v>
      </c>
    </row>
    <row r="44" spans="1:15">
      <c r="A44" s="2" t="s">
        <v>347</v>
      </c>
      <c r="B44" s="2" t="s">
        <v>349</v>
      </c>
      <c r="C44" s="2" t="s">
        <v>1226</v>
      </c>
      <c r="D44" s="2" t="s">
        <v>579</v>
      </c>
      <c r="E44" s="2" t="s">
        <v>585</v>
      </c>
      <c r="I44" s="2" t="s">
        <v>127</v>
      </c>
      <c r="M44" s="2" t="s">
        <v>596</v>
      </c>
      <c r="O44" s="2" t="s">
        <v>612</v>
      </c>
    </row>
    <row r="45" spans="1:15">
      <c r="A45" s="2" t="s">
        <v>348</v>
      </c>
      <c r="B45" s="2" t="s">
        <v>351</v>
      </c>
      <c r="C45" s="2" t="s">
        <v>1226</v>
      </c>
      <c r="D45" s="2" t="s">
        <v>580</v>
      </c>
      <c r="E45" s="2" t="s">
        <v>586</v>
      </c>
      <c r="I45" s="2" t="s">
        <v>122</v>
      </c>
      <c r="M45" s="2" t="s">
        <v>594</v>
      </c>
      <c r="O45" s="2" t="s">
        <v>613</v>
      </c>
    </row>
    <row r="46" spans="1:15">
      <c r="A46" s="2" t="s">
        <v>349</v>
      </c>
      <c r="B46" s="2" t="s">
        <v>353</v>
      </c>
      <c r="C46" s="2" t="s">
        <v>1226</v>
      </c>
      <c r="D46" s="2" t="s">
        <v>581</v>
      </c>
      <c r="E46" s="2" t="s">
        <v>587</v>
      </c>
      <c r="F46" s="167" t="s">
        <v>718</v>
      </c>
      <c r="I46" s="2" t="s">
        <v>100</v>
      </c>
      <c r="M46" s="2" t="s">
        <v>597</v>
      </c>
      <c r="O46" s="2" t="s">
        <v>614</v>
      </c>
    </row>
    <row r="47" spans="1:15">
      <c r="A47" s="2" t="s">
        <v>350</v>
      </c>
      <c r="B47" s="2" t="s">
        <v>1137</v>
      </c>
      <c r="C47" s="2" t="s">
        <v>1226</v>
      </c>
      <c r="D47" s="2" t="s">
        <v>582</v>
      </c>
      <c r="E47" s="2" t="s">
        <v>588</v>
      </c>
      <c r="F47" s="167" t="s">
        <v>725</v>
      </c>
      <c r="I47" s="2" t="s">
        <v>598</v>
      </c>
      <c r="M47" s="2" t="s">
        <v>595</v>
      </c>
      <c r="O47" s="2" t="s">
        <v>615</v>
      </c>
    </row>
    <row r="48" spans="1:15">
      <c r="A48" s="2" t="s">
        <v>1116</v>
      </c>
      <c r="B48" s="2" t="s">
        <v>318</v>
      </c>
      <c r="C48" s="2" t="s">
        <v>1231</v>
      </c>
      <c r="O48" s="2"/>
    </row>
    <row r="49" spans="1:15">
      <c r="A49" s="2" t="s">
        <v>1111</v>
      </c>
      <c r="B49" s="2" t="s">
        <v>211</v>
      </c>
      <c r="C49" s="2" t="s">
        <v>1231</v>
      </c>
      <c r="O49" s="2"/>
    </row>
    <row r="50" spans="1:15">
      <c r="A50" s="4" t="s">
        <v>589</v>
      </c>
      <c r="B50" s="4"/>
      <c r="C50" s="4"/>
      <c r="O50" s="2"/>
    </row>
    <row r="51" spans="1:15">
      <c r="A51" s="4" t="s">
        <v>354</v>
      </c>
      <c r="B51" s="4"/>
      <c r="C51" s="4"/>
      <c r="O51" s="2"/>
    </row>
    <row r="52" spans="1:15">
      <c r="A52" s="2" t="s">
        <v>1114</v>
      </c>
      <c r="B52" s="2" t="s">
        <v>1115</v>
      </c>
      <c r="O52" s="2"/>
    </row>
    <row r="53" spans="1:15">
      <c r="A53" s="2" t="s">
        <v>1112</v>
      </c>
      <c r="B53" s="2" t="s">
        <v>1113</v>
      </c>
      <c r="O53" s="2"/>
    </row>
    <row r="54" spans="1:15">
      <c r="A54" s="4" t="s">
        <v>1110</v>
      </c>
      <c r="O54" s="2"/>
    </row>
  </sheetData>
  <phoneticPr fontId="6" type="noConversion"/>
  <pageMargins left="0.7" right="0.7" top="0.75" bottom="0.75" header="0.3" footer="0.3"/>
  <pageSetup scale="69" fitToHeight="0" orientation="landscape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EE28-FD45-41AE-9DAD-1056666C1049}">
  <dimension ref="A1:Q51"/>
  <sheetViews>
    <sheetView workbookViewId="0">
      <pane ySplit="1" topLeftCell="A2" activePane="bottomLeft" state="frozen"/>
      <selection pane="bottomLeft" activeCell="D9" sqref="D9"/>
    </sheetView>
  </sheetViews>
  <sheetFormatPr defaultRowHeight="15"/>
  <cols>
    <col min="1" max="1" width="9.140625" style="2"/>
    <col min="2" max="2" width="9.85546875" customWidth="1"/>
    <col min="3" max="4" width="16" customWidth="1"/>
    <col min="5" max="5" width="11.5703125" bestFit="1" customWidth="1"/>
    <col min="16" max="16" width="9.28515625" customWidth="1"/>
    <col min="17" max="17" width="15.42578125" bestFit="1" customWidth="1"/>
  </cols>
  <sheetData>
    <row r="1" spans="1:17">
      <c r="A1" s="2" t="s">
        <v>1</v>
      </c>
      <c r="B1" s="2" t="s">
        <v>1109</v>
      </c>
      <c r="C1" s="2" t="s">
        <v>1269</v>
      </c>
      <c r="D1" s="2" t="s">
        <v>1181</v>
      </c>
      <c r="E1" s="2" t="s">
        <v>1225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605</v>
      </c>
    </row>
    <row r="2" spans="1:17">
      <c r="A2" s="9" t="s">
        <v>1288</v>
      </c>
      <c r="B2" s="10" t="s">
        <v>1134</v>
      </c>
      <c r="C2" s="10"/>
      <c r="D2" s="2" t="s">
        <v>1184</v>
      </c>
      <c r="E2" s="10" t="s">
        <v>1226</v>
      </c>
      <c r="F2" s="10" t="s">
        <v>17</v>
      </c>
      <c r="G2" s="10" t="s">
        <v>18</v>
      </c>
      <c r="H2" s="10" t="s">
        <v>238</v>
      </c>
      <c r="I2" s="10" t="s">
        <v>0</v>
      </c>
      <c r="J2" s="10" t="s">
        <v>261</v>
      </c>
      <c r="K2" s="10" t="s">
        <v>19</v>
      </c>
      <c r="L2" s="10" t="s">
        <v>20</v>
      </c>
      <c r="M2" s="10" t="s">
        <v>0</v>
      </c>
      <c r="N2" s="10" t="s">
        <v>21</v>
      </c>
      <c r="O2" s="10" t="s">
        <v>0</v>
      </c>
      <c r="P2" s="10" t="s">
        <v>0</v>
      </c>
      <c r="Q2" s="11"/>
    </row>
    <row r="3" spans="1:17">
      <c r="A3" s="6" t="s">
        <v>1289</v>
      </c>
      <c r="B3" s="7" t="s">
        <v>1133</v>
      </c>
      <c r="C3" s="7"/>
      <c r="D3" s="2" t="s">
        <v>1185</v>
      </c>
      <c r="E3" s="7" t="s">
        <v>1226</v>
      </c>
      <c r="F3" s="7" t="s">
        <v>23</v>
      </c>
      <c r="G3" s="7" t="s">
        <v>24</v>
      </c>
      <c r="H3" s="7" t="s">
        <v>239</v>
      </c>
      <c r="I3" s="7" t="s">
        <v>0</v>
      </c>
      <c r="J3" s="7" t="s">
        <v>262</v>
      </c>
      <c r="K3" s="7" t="s">
        <v>25</v>
      </c>
      <c r="L3" s="7" t="s">
        <v>26</v>
      </c>
      <c r="M3" s="7" t="s">
        <v>0</v>
      </c>
      <c r="N3" s="7" t="s">
        <v>27</v>
      </c>
      <c r="O3" s="7" t="s">
        <v>0</v>
      </c>
      <c r="P3" s="7" t="s">
        <v>0</v>
      </c>
      <c r="Q3" s="8"/>
    </row>
    <row r="4" spans="1:17">
      <c r="A4" s="9" t="s">
        <v>1290</v>
      </c>
      <c r="B4" s="10" t="s">
        <v>352</v>
      </c>
      <c r="C4" s="10" t="s">
        <v>1270</v>
      </c>
      <c r="D4" s="2" t="s">
        <v>1156</v>
      </c>
      <c r="E4" s="10" t="s">
        <v>1226</v>
      </c>
      <c r="F4" s="10" t="s">
        <v>29</v>
      </c>
      <c r="G4" s="10" t="s">
        <v>30</v>
      </c>
      <c r="H4" s="10" t="s">
        <v>0</v>
      </c>
      <c r="I4" s="10" t="s">
        <v>0</v>
      </c>
      <c r="J4" s="10" t="s">
        <v>0</v>
      </c>
      <c r="K4" s="10" t="s">
        <v>31</v>
      </c>
      <c r="L4" s="10" t="s">
        <v>0</v>
      </c>
      <c r="M4" s="10" t="s">
        <v>32</v>
      </c>
      <c r="N4" s="10" t="s">
        <v>33</v>
      </c>
      <c r="O4" s="10" t="s">
        <v>34</v>
      </c>
      <c r="P4" s="10" t="s">
        <v>0</v>
      </c>
      <c r="Q4" s="11"/>
    </row>
    <row r="5" spans="1:17">
      <c r="A5" s="6" t="s">
        <v>1291</v>
      </c>
      <c r="B5" s="7" t="s">
        <v>186</v>
      </c>
      <c r="C5" s="7" t="s">
        <v>1271</v>
      </c>
      <c r="D5" s="2" t="s">
        <v>1155</v>
      </c>
      <c r="E5" s="7" t="s">
        <v>1226</v>
      </c>
      <c r="F5" s="7" t="s">
        <v>36</v>
      </c>
      <c r="G5" s="7" t="s">
        <v>37</v>
      </c>
      <c r="H5" s="7" t="s">
        <v>0</v>
      </c>
      <c r="I5" s="7" t="s">
        <v>0</v>
      </c>
      <c r="J5" s="7" t="s">
        <v>0</v>
      </c>
      <c r="K5" s="7" t="s">
        <v>38</v>
      </c>
      <c r="L5" s="7" t="s">
        <v>0</v>
      </c>
      <c r="M5" s="7" t="s">
        <v>39</v>
      </c>
      <c r="N5" s="7" t="s">
        <v>40</v>
      </c>
      <c r="O5" s="7" t="s">
        <v>41</v>
      </c>
      <c r="P5" s="7" t="s">
        <v>0</v>
      </c>
      <c r="Q5" s="8"/>
    </row>
    <row r="6" spans="1:17">
      <c r="A6" s="9" t="s">
        <v>1292</v>
      </c>
      <c r="B6" s="10" t="s">
        <v>73</v>
      </c>
      <c r="C6" s="10" t="s">
        <v>1272</v>
      </c>
      <c r="D6" s="2" t="s">
        <v>1148</v>
      </c>
      <c r="E6" s="10" t="s">
        <v>1226</v>
      </c>
      <c r="F6" s="10" t="s">
        <v>43</v>
      </c>
      <c r="G6" s="10" t="s">
        <v>44</v>
      </c>
      <c r="H6" s="10" t="s">
        <v>0</v>
      </c>
      <c r="I6" s="10" t="s">
        <v>0</v>
      </c>
      <c r="J6" s="10" t="s">
        <v>0</v>
      </c>
      <c r="K6" s="10" t="s">
        <v>45</v>
      </c>
      <c r="L6" s="10" t="s">
        <v>0</v>
      </c>
      <c r="M6" s="10" t="s">
        <v>46</v>
      </c>
      <c r="N6" s="10" t="s">
        <v>47</v>
      </c>
      <c r="O6" s="10" t="s">
        <v>48</v>
      </c>
      <c r="P6" s="10" t="s">
        <v>0</v>
      </c>
      <c r="Q6" s="11"/>
    </row>
    <row r="7" spans="1:17">
      <c r="A7" s="6" t="s">
        <v>1284</v>
      </c>
      <c r="B7" s="7" t="s">
        <v>1132</v>
      </c>
      <c r="C7" s="7" t="s">
        <v>1273</v>
      </c>
      <c r="D7" s="2" t="s">
        <v>1154</v>
      </c>
      <c r="E7" s="7" t="s">
        <v>1226</v>
      </c>
      <c r="F7" s="7" t="s">
        <v>193</v>
      </c>
      <c r="G7" s="7" t="s">
        <v>194</v>
      </c>
      <c r="H7" s="7" t="s">
        <v>0</v>
      </c>
      <c r="I7" s="7" t="s">
        <v>0</v>
      </c>
      <c r="J7" s="7" t="s">
        <v>0</v>
      </c>
      <c r="K7" s="7" t="s">
        <v>195</v>
      </c>
      <c r="L7" s="7" t="s">
        <v>0</v>
      </c>
      <c r="M7" s="7" t="s">
        <v>196</v>
      </c>
      <c r="N7" s="7" t="s">
        <v>21</v>
      </c>
      <c r="O7" s="7" t="s">
        <v>197</v>
      </c>
      <c r="P7" s="7" t="s">
        <v>0</v>
      </c>
      <c r="Q7" s="8"/>
    </row>
    <row r="8" spans="1:17">
      <c r="A8" s="9" t="s">
        <v>1285</v>
      </c>
      <c r="B8" s="10" t="s">
        <v>1138</v>
      </c>
      <c r="C8" s="10" t="s">
        <v>1179</v>
      </c>
      <c r="D8" s="2" t="s">
        <v>1211</v>
      </c>
      <c r="E8" s="10" t="s">
        <v>1226</v>
      </c>
      <c r="F8" s="10" t="s">
        <v>64</v>
      </c>
      <c r="G8" s="10" t="s">
        <v>65</v>
      </c>
      <c r="H8" s="10" t="s">
        <v>0</v>
      </c>
      <c r="I8" s="10" t="s">
        <v>0</v>
      </c>
      <c r="J8" s="10" t="s">
        <v>0</v>
      </c>
      <c r="K8" s="10" t="s">
        <v>344</v>
      </c>
      <c r="L8" s="10"/>
      <c r="M8" s="10" t="s">
        <v>66</v>
      </c>
      <c r="N8" s="10"/>
      <c r="O8" s="10" t="s">
        <v>67</v>
      </c>
      <c r="P8" s="10"/>
      <c r="Q8" s="11" t="s">
        <v>616</v>
      </c>
    </row>
    <row r="9" spans="1:17">
      <c r="A9" s="6" t="s">
        <v>1286</v>
      </c>
      <c r="B9" s="7" t="s">
        <v>1118</v>
      </c>
      <c r="C9" s="7" t="s">
        <v>1274</v>
      </c>
      <c r="D9" s="2" t="s">
        <v>1201</v>
      </c>
      <c r="E9" s="7"/>
      <c r="F9" s="7" t="s">
        <v>54</v>
      </c>
      <c r="G9" s="7" t="s">
        <v>55</v>
      </c>
      <c r="H9" s="7" t="s">
        <v>1217</v>
      </c>
      <c r="I9" s="7" t="s">
        <v>0</v>
      </c>
      <c r="J9" s="7" t="s">
        <v>0</v>
      </c>
      <c r="K9" s="7" t="s">
        <v>56</v>
      </c>
      <c r="L9" s="7" t="s">
        <v>0</v>
      </c>
      <c r="M9" s="7" t="s">
        <v>57</v>
      </c>
      <c r="N9" s="7" t="s">
        <v>58</v>
      </c>
      <c r="O9" s="7" t="s">
        <v>233</v>
      </c>
      <c r="P9" s="7"/>
      <c r="Q9" s="8"/>
    </row>
    <row r="10" spans="1:17">
      <c r="A10" s="9" t="s">
        <v>1287</v>
      </c>
      <c r="B10" s="10" t="s">
        <v>360</v>
      </c>
      <c r="C10" s="10" t="s">
        <v>1274</v>
      </c>
      <c r="D10" s="2" t="s">
        <v>1202</v>
      </c>
      <c r="E10" s="10"/>
      <c r="F10" s="10" t="s">
        <v>59</v>
      </c>
      <c r="G10" s="10" t="s">
        <v>60</v>
      </c>
      <c r="H10" s="10" t="s">
        <v>1218</v>
      </c>
      <c r="I10" s="10" t="s">
        <v>0</v>
      </c>
      <c r="J10" s="10" t="s">
        <v>0</v>
      </c>
      <c r="K10" s="10" t="s">
        <v>61</v>
      </c>
      <c r="L10" s="10" t="s">
        <v>0</v>
      </c>
      <c r="M10" s="10" t="s">
        <v>62</v>
      </c>
      <c r="N10" s="10" t="s">
        <v>63</v>
      </c>
      <c r="O10" s="10" t="s">
        <v>232</v>
      </c>
      <c r="P10" s="10"/>
      <c r="Q10" s="11"/>
    </row>
    <row r="11" spans="1:17">
      <c r="A11" s="6" t="s">
        <v>1293</v>
      </c>
      <c r="B11" s="7" t="s">
        <v>1135</v>
      </c>
      <c r="C11" s="7" t="s">
        <v>1178</v>
      </c>
      <c r="D11" s="2" t="s">
        <v>1212</v>
      </c>
      <c r="E11" s="7" t="s">
        <v>1226</v>
      </c>
      <c r="F11" s="7" t="s">
        <v>69</v>
      </c>
      <c r="G11" s="7" t="s">
        <v>70</v>
      </c>
      <c r="H11" s="7" t="s">
        <v>0</v>
      </c>
      <c r="I11" s="7" t="s">
        <v>0</v>
      </c>
      <c r="J11" s="7" t="s">
        <v>0</v>
      </c>
      <c r="K11" s="7" t="s">
        <v>503</v>
      </c>
      <c r="L11" s="7"/>
      <c r="M11" s="7" t="s">
        <v>71</v>
      </c>
      <c r="N11" s="7"/>
      <c r="O11" s="7" t="s">
        <v>72</v>
      </c>
      <c r="P11" s="7"/>
      <c r="Q11" s="8" t="s">
        <v>617</v>
      </c>
    </row>
    <row r="12" spans="1:17">
      <c r="A12" s="9" t="s">
        <v>73</v>
      </c>
      <c r="B12" s="10" t="s">
        <v>1131</v>
      </c>
      <c r="C12" s="10" t="s">
        <v>1169</v>
      </c>
      <c r="D12" s="2" t="s">
        <v>1170</v>
      </c>
      <c r="E12" s="10" t="s">
        <v>1230</v>
      </c>
      <c r="F12" s="10" t="s">
        <v>74</v>
      </c>
      <c r="G12" s="10" t="s">
        <v>75</v>
      </c>
      <c r="H12" s="10" t="s">
        <v>0</v>
      </c>
      <c r="I12" s="10" t="s">
        <v>0</v>
      </c>
      <c r="J12" s="10" t="s">
        <v>255</v>
      </c>
      <c r="K12" s="10" t="s">
        <v>76</v>
      </c>
      <c r="L12" s="10" t="s">
        <v>0</v>
      </c>
      <c r="M12" s="10" t="s">
        <v>77</v>
      </c>
      <c r="N12" s="10" t="s">
        <v>0</v>
      </c>
      <c r="O12" s="10" t="s">
        <v>78</v>
      </c>
      <c r="P12" s="10" t="s">
        <v>0</v>
      </c>
      <c r="Q12" s="11" t="s">
        <v>606</v>
      </c>
    </row>
    <row r="13" spans="1:17">
      <c r="A13" s="6" t="s">
        <v>79</v>
      </c>
      <c r="B13" s="7" t="s">
        <v>1129</v>
      </c>
      <c r="C13" s="7" t="s">
        <v>1275</v>
      </c>
      <c r="D13" s="2" t="s">
        <v>1174</v>
      </c>
      <c r="E13" s="7" t="s">
        <v>1226</v>
      </c>
      <c r="F13" s="7" t="s">
        <v>80</v>
      </c>
      <c r="G13" s="7" t="s">
        <v>81</v>
      </c>
      <c r="H13" s="7" t="s">
        <v>0</v>
      </c>
      <c r="I13" s="7" t="s">
        <v>0</v>
      </c>
      <c r="J13" s="7" t="s">
        <v>256</v>
      </c>
      <c r="K13" s="7" t="s">
        <v>82</v>
      </c>
      <c r="L13" s="7" t="s">
        <v>83</v>
      </c>
      <c r="M13" s="7" t="s">
        <v>0</v>
      </c>
      <c r="N13" s="7" t="s">
        <v>0</v>
      </c>
      <c r="O13" s="7" t="s">
        <v>84</v>
      </c>
      <c r="P13" s="7" t="s">
        <v>0</v>
      </c>
      <c r="Q13" s="8" t="s">
        <v>608</v>
      </c>
    </row>
    <row r="14" spans="1:17">
      <c r="A14" s="9" t="s">
        <v>85</v>
      </c>
      <c r="B14" s="10" t="s">
        <v>1130</v>
      </c>
      <c r="C14" s="10" t="s">
        <v>1276</v>
      </c>
      <c r="D14" s="2" t="s">
        <v>1175</v>
      </c>
      <c r="E14" s="10" t="s">
        <v>1226</v>
      </c>
      <c r="F14" s="10" t="s">
        <v>86</v>
      </c>
      <c r="G14" s="10" t="s">
        <v>87</v>
      </c>
      <c r="H14" s="10" t="s">
        <v>0</v>
      </c>
      <c r="I14" s="10" t="s">
        <v>0</v>
      </c>
      <c r="J14" s="10" t="s">
        <v>257</v>
      </c>
      <c r="K14" s="10" t="s">
        <v>88</v>
      </c>
      <c r="L14" s="10" t="s">
        <v>0</v>
      </c>
      <c r="M14" s="10" t="s">
        <v>89</v>
      </c>
      <c r="N14" s="10" t="s">
        <v>0</v>
      </c>
      <c r="O14" s="10" t="s">
        <v>90</v>
      </c>
      <c r="P14" s="10" t="s">
        <v>0</v>
      </c>
      <c r="Q14" s="11" t="s">
        <v>607</v>
      </c>
    </row>
    <row r="15" spans="1:17">
      <c r="A15" s="6" t="s">
        <v>91</v>
      </c>
      <c r="B15" s="7" t="s">
        <v>1128</v>
      </c>
      <c r="C15" s="7" t="s">
        <v>1277</v>
      </c>
      <c r="D15" s="2" t="s">
        <v>1173</v>
      </c>
      <c r="E15" s="7" t="s">
        <v>1226</v>
      </c>
      <c r="F15" s="7" t="s">
        <v>92</v>
      </c>
      <c r="G15" s="7" t="s">
        <v>93</v>
      </c>
      <c r="H15" s="7" t="s">
        <v>0</v>
      </c>
      <c r="I15" s="7" t="s">
        <v>0</v>
      </c>
      <c r="J15" s="7" t="s">
        <v>258</v>
      </c>
      <c r="K15" s="7" t="s">
        <v>94</v>
      </c>
      <c r="L15" s="7" t="s">
        <v>95</v>
      </c>
      <c r="M15" s="7" t="s">
        <v>0</v>
      </c>
      <c r="N15" s="7" t="s">
        <v>0</v>
      </c>
      <c r="O15" s="7" t="s">
        <v>96</v>
      </c>
      <c r="P15" s="7" t="s">
        <v>0</v>
      </c>
      <c r="Q15" s="8" t="s">
        <v>609</v>
      </c>
    </row>
    <row r="16" spans="1:17">
      <c r="A16" s="9" t="s">
        <v>97</v>
      </c>
      <c r="B16" s="10" t="s">
        <v>210</v>
      </c>
      <c r="C16" s="10"/>
      <c r="D16" s="2" t="s">
        <v>403</v>
      </c>
      <c r="E16" s="10" t="s">
        <v>1226</v>
      </c>
      <c r="F16" s="10" t="s">
        <v>98</v>
      </c>
      <c r="G16" s="10" t="s">
        <v>99</v>
      </c>
      <c r="H16" s="10" t="s">
        <v>242</v>
      </c>
      <c r="I16" s="10" t="s">
        <v>0</v>
      </c>
      <c r="J16" s="10" t="s">
        <v>0</v>
      </c>
      <c r="K16" s="10" t="s">
        <v>100</v>
      </c>
      <c r="L16" s="10" t="s">
        <v>0</v>
      </c>
      <c r="M16" s="10" t="s">
        <v>101</v>
      </c>
      <c r="N16" s="10" t="s">
        <v>0</v>
      </c>
      <c r="O16" s="10" t="s">
        <v>102</v>
      </c>
      <c r="P16" s="10" t="s">
        <v>269</v>
      </c>
      <c r="Q16" s="11"/>
    </row>
    <row r="17" spans="1:17">
      <c r="A17" s="6" t="s">
        <v>103</v>
      </c>
      <c r="B17" s="7" t="s">
        <v>573</v>
      </c>
      <c r="C17" s="7" t="s">
        <v>1296</v>
      </c>
      <c r="D17" s="2" t="s">
        <v>402</v>
      </c>
      <c r="E17" s="7" t="s">
        <v>1226</v>
      </c>
      <c r="F17" s="7" t="s">
        <v>104</v>
      </c>
      <c r="G17" s="7" t="s">
        <v>105</v>
      </c>
      <c r="H17" s="7" t="s">
        <v>243</v>
      </c>
      <c r="I17" s="7" t="s">
        <v>0</v>
      </c>
      <c r="J17" s="7" t="s">
        <v>0</v>
      </c>
      <c r="K17" s="7" t="s">
        <v>106</v>
      </c>
      <c r="L17" s="7" t="s">
        <v>0</v>
      </c>
      <c r="M17" s="7" t="s">
        <v>107</v>
      </c>
      <c r="N17" s="7" t="s">
        <v>0</v>
      </c>
      <c r="O17" s="7" t="s">
        <v>108</v>
      </c>
      <c r="P17" s="7" t="s">
        <v>270</v>
      </c>
      <c r="Q17" s="8"/>
    </row>
    <row r="18" spans="1:17">
      <c r="A18" s="9" t="s">
        <v>109</v>
      </c>
      <c r="B18" s="10" t="s">
        <v>1123</v>
      </c>
      <c r="C18" s="10"/>
      <c r="D18" s="2" t="s">
        <v>1186</v>
      </c>
      <c r="E18" s="10" t="s">
        <v>1226</v>
      </c>
      <c r="F18" s="10" t="s">
        <v>110</v>
      </c>
      <c r="G18" s="10" t="s">
        <v>111</v>
      </c>
      <c r="H18" s="10" t="s">
        <v>1219</v>
      </c>
      <c r="I18" s="10" t="s">
        <v>1221</v>
      </c>
      <c r="J18" s="10" t="s">
        <v>0</v>
      </c>
      <c r="K18" s="10" t="s">
        <v>0</v>
      </c>
      <c r="L18" s="10" t="s">
        <v>0</v>
      </c>
      <c r="M18" s="10" t="s">
        <v>112</v>
      </c>
      <c r="N18" s="10" t="s">
        <v>0</v>
      </c>
      <c r="O18" s="10" t="s">
        <v>113</v>
      </c>
      <c r="P18" s="10" t="s">
        <v>271</v>
      </c>
      <c r="Q18" s="191" t="s">
        <v>364</v>
      </c>
    </row>
    <row r="19" spans="1:17">
      <c r="A19" s="6" t="s">
        <v>114</v>
      </c>
      <c r="B19" s="7" t="s">
        <v>1136</v>
      </c>
      <c r="C19" s="7"/>
      <c r="D19" s="2" t="s">
        <v>1187</v>
      </c>
      <c r="E19" s="7" t="s">
        <v>1226</v>
      </c>
      <c r="F19" s="7" t="s">
        <v>115</v>
      </c>
      <c r="G19" s="7" t="s">
        <v>116</v>
      </c>
      <c r="H19" s="7" t="s">
        <v>1220</v>
      </c>
      <c r="I19" s="7" t="s">
        <v>1222</v>
      </c>
      <c r="J19" s="7" t="s">
        <v>0</v>
      </c>
      <c r="K19" s="7" t="s">
        <v>0</v>
      </c>
      <c r="L19" s="7" t="s">
        <v>0</v>
      </c>
      <c r="M19" s="7" t="s">
        <v>117</v>
      </c>
      <c r="N19" s="7" t="s">
        <v>0</v>
      </c>
      <c r="O19" s="7" t="s">
        <v>118</v>
      </c>
      <c r="P19" s="7" t="s">
        <v>272</v>
      </c>
      <c r="Q19" s="192" t="s">
        <v>363</v>
      </c>
    </row>
    <row r="20" spans="1:17">
      <c r="A20" s="9" t="s">
        <v>119</v>
      </c>
      <c r="B20" s="10" t="s">
        <v>85</v>
      </c>
      <c r="C20" s="10" t="s">
        <v>1278</v>
      </c>
      <c r="D20" s="2" t="s">
        <v>1150</v>
      </c>
      <c r="E20" s="10" t="s">
        <v>1226</v>
      </c>
      <c r="F20" s="10" t="s">
        <v>120</v>
      </c>
      <c r="G20" s="10" t="s">
        <v>121</v>
      </c>
      <c r="H20" s="10" t="s">
        <v>286</v>
      </c>
      <c r="I20" s="10" t="s">
        <v>279</v>
      </c>
      <c r="J20" s="10" t="s">
        <v>0</v>
      </c>
      <c r="K20" s="10" t="s">
        <v>122</v>
      </c>
      <c r="L20" s="10" t="s">
        <v>0</v>
      </c>
      <c r="M20" s="10" t="s">
        <v>0</v>
      </c>
      <c r="N20" s="10" t="s">
        <v>0</v>
      </c>
      <c r="O20" s="10" t="s">
        <v>123</v>
      </c>
      <c r="P20" s="10" t="s">
        <v>273</v>
      </c>
      <c r="Q20" s="11"/>
    </row>
    <row r="21" spans="1:17">
      <c r="A21" s="6" t="s">
        <v>124</v>
      </c>
      <c r="B21" s="7" t="s">
        <v>1119</v>
      </c>
      <c r="C21" s="7" t="s">
        <v>1278</v>
      </c>
      <c r="D21" s="2" t="s">
        <v>1149</v>
      </c>
      <c r="E21" s="7" t="s">
        <v>1226</v>
      </c>
      <c r="F21" s="7" t="s">
        <v>125</v>
      </c>
      <c r="G21" s="7" t="s">
        <v>126</v>
      </c>
      <c r="H21" s="7" t="s">
        <v>244</v>
      </c>
      <c r="I21" s="7" t="s">
        <v>280</v>
      </c>
      <c r="J21" s="7" t="s">
        <v>0</v>
      </c>
      <c r="K21" s="7" t="s">
        <v>127</v>
      </c>
      <c r="L21" s="7" t="s">
        <v>0</v>
      </c>
      <c r="M21" s="7" t="s">
        <v>0</v>
      </c>
      <c r="N21" s="7" t="s">
        <v>0</v>
      </c>
      <c r="O21" s="7" t="s">
        <v>128</v>
      </c>
      <c r="P21" s="7" t="s">
        <v>274</v>
      </c>
      <c r="Q21" s="8"/>
    </row>
    <row r="22" spans="1:17" s="193" customFormat="1">
      <c r="A22" s="22" t="s">
        <v>129</v>
      </c>
      <c r="B22" s="23" t="s">
        <v>358</v>
      </c>
      <c r="C22" s="23" t="s">
        <v>1274</v>
      </c>
      <c r="D22" s="2" t="s">
        <v>1199</v>
      </c>
      <c r="E22" s="23"/>
      <c r="F22" s="23" t="s">
        <v>130</v>
      </c>
      <c r="G22" s="23" t="s">
        <v>131</v>
      </c>
      <c r="H22" s="23" t="s">
        <v>247</v>
      </c>
      <c r="I22" s="23" t="s">
        <v>0</v>
      </c>
      <c r="J22" s="23" t="s">
        <v>0</v>
      </c>
      <c r="K22" s="23" t="s">
        <v>0</v>
      </c>
      <c r="L22" s="23" t="s">
        <v>0</v>
      </c>
      <c r="M22" s="23" t="s">
        <v>132</v>
      </c>
      <c r="N22" s="23" t="s">
        <v>0</v>
      </c>
      <c r="O22" s="23" t="s">
        <v>133</v>
      </c>
      <c r="P22" s="23" t="s">
        <v>275</v>
      </c>
      <c r="Q22" s="25"/>
    </row>
    <row r="23" spans="1:17" s="193" customFormat="1">
      <c r="A23" s="18" t="s">
        <v>134</v>
      </c>
      <c r="B23" s="19" t="s">
        <v>356</v>
      </c>
      <c r="C23" s="19" t="s">
        <v>1274</v>
      </c>
      <c r="D23" s="2" t="s">
        <v>1197</v>
      </c>
      <c r="E23" s="19"/>
      <c r="F23" s="19" t="s">
        <v>135</v>
      </c>
      <c r="G23" s="19" t="s">
        <v>136</v>
      </c>
      <c r="H23" s="19" t="s">
        <v>248</v>
      </c>
      <c r="I23" s="19" t="s">
        <v>0</v>
      </c>
      <c r="J23" s="19" t="s">
        <v>0</v>
      </c>
      <c r="K23" s="19" t="s">
        <v>0</v>
      </c>
      <c r="L23" s="19" t="s">
        <v>0</v>
      </c>
      <c r="M23" s="19" t="s">
        <v>137</v>
      </c>
      <c r="N23" s="19" t="s">
        <v>0</v>
      </c>
      <c r="O23" s="19" t="s">
        <v>138</v>
      </c>
      <c r="P23" s="19" t="s">
        <v>276</v>
      </c>
      <c r="Q23" s="21"/>
    </row>
    <row r="24" spans="1:17">
      <c r="A24" s="9" t="s">
        <v>139</v>
      </c>
      <c r="B24" s="10" t="s">
        <v>355</v>
      </c>
      <c r="C24" s="10" t="s">
        <v>1295</v>
      </c>
      <c r="D24" s="2" t="s">
        <v>1163</v>
      </c>
      <c r="E24" s="10" t="s">
        <v>1226</v>
      </c>
      <c r="F24" s="10" t="s">
        <v>140</v>
      </c>
      <c r="G24" s="10" t="s">
        <v>141</v>
      </c>
      <c r="H24" s="10" t="s">
        <v>0</v>
      </c>
      <c r="I24" s="10" t="s">
        <v>0</v>
      </c>
      <c r="J24" s="10" t="s">
        <v>0</v>
      </c>
      <c r="K24" s="10" t="s">
        <v>142</v>
      </c>
      <c r="L24" s="10" t="s">
        <v>83</v>
      </c>
      <c r="M24" s="10" t="s">
        <v>0</v>
      </c>
      <c r="N24" s="10" t="s">
        <v>0</v>
      </c>
      <c r="O24" s="10" t="s">
        <v>143</v>
      </c>
      <c r="P24" s="10" t="s">
        <v>277</v>
      </c>
      <c r="Q24" s="191" t="s">
        <v>365</v>
      </c>
    </row>
    <row r="25" spans="1:17">
      <c r="A25" s="6" t="s">
        <v>144</v>
      </c>
      <c r="B25" s="7" t="s">
        <v>1117</v>
      </c>
      <c r="C25" s="7" t="s">
        <v>1274</v>
      </c>
      <c r="D25" s="2" t="s">
        <v>1203</v>
      </c>
      <c r="E25" s="7"/>
      <c r="F25" s="7" t="s">
        <v>145</v>
      </c>
      <c r="G25" s="7" t="s">
        <v>146</v>
      </c>
      <c r="H25" s="7" t="s">
        <v>0</v>
      </c>
      <c r="I25" s="7" t="s">
        <v>0</v>
      </c>
      <c r="J25" s="7" t="s">
        <v>0</v>
      </c>
      <c r="K25" s="7" t="s">
        <v>147</v>
      </c>
      <c r="L25" s="7" t="s">
        <v>95</v>
      </c>
      <c r="M25" s="7" t="s">
        <v>148</v>
      </c>
      <c r="N25" s="7" t="s">
        <v>0</v>
      </c>
      <c r="O25" s="7" t="s">
        <v>149</v>
      </c>
      <c r="P25" s="7" t="s">
        <v>278</v>
      </c>
      <c r="Q25" s="192" t="s">
        <v>366</v>
      </c>
    </row>
    <row r="26" spans="1:17">
      <c r="A26" s="9" t="s">
        <v>151</v>
      </c>
      <c r="B26" s="10" t="s">
        <v>359</v>
      </c>
      <c r="C26" s="10"/>
      <c r="D26" s="2" t="s">
        <v>1200</v>
      </c>
      <c r="E26" s="10"/>
      <c r="F26" s="10" t="s">
        <v>152</v>
      </c>
      <c r="G26" s="10" t="s">
        <v>153</v>
      </c>
      <c r="H26" s="10" t="s">
        <v>251</v>
      </c>
      <c r="I26" s="10" t="s">
        <v>1223</v>
      </c>
      <c r="J26" s="10" t="s">
        <v>0</v>
      </c>
      <c r="K26" s="10" t="s">
        <v>154</v>
      </c>
      <c r="L26" s="10" t="s">
        <v>0</v>
      </c>
      <c r="M26" s="10" t="s">
        <v>0</v>
      </c>
      <c r="N26" s="10" t="s">
        <v>0</v>
      </c>
      <c r="O26" s="10" t="s">
        <v>0</v>
      </c>
      <c r="P26" s="10" t="s">
        <v>155</v>
      </c>
      <c r="Q26" s="11"/>
    </row>
    <row r="27" spans="1:17">
      <c r="A27" s="6" t="s">
        <v>156</v>
      </c>
      <c r="B27" s="7" t="s">
        <v>357</v>
      </c>
      <c r="C27" s="7"/>
      <c r="D27" s="2" t="s">
        <v>1198</v>
      </c>
      <c r="E27" s="7"/>
      <c r="F27" s="7" t="s">
        <v>157</v>
      </c>
      <c r="G27" s="7" t="s">
        <v>158</v>
      </c>
      <c r="H27" s="7" t="s">
        <v>252</v>
      </c>
      <c r="I27" s="7" t="s">
        <v>1224</v>
      </c>
      <c r="J27" s="7" t="s">
        <v>0</v>
      </c>
      <c r="K27" s="7" t="s">
        <v>159</v>
      </c>
      <c r="L27" s="7" t="s">
        <v>160</v>
      </c>
      <c r="M27" s="7" t="s">
        <v>0</v>
      </c>
      <c r="N27" s="7" t="s">
        <v>0</v>
      </c>
      <c r="O27" s="7" t="s">
        <v>0</v>
      </c>
      <c r="P27" s="7" t="s">
        <v>161</v>
      </c>
      <c r="Q27" s="8"/>
    </row>
    <row r="28" spans="1:17">
      <c r="A28" s="9" t="s">
        <v>162</v>
      </c>
      <c r="B28" s="10" t="s">
        <v>1139</v>
      </c>
      <c r="C28" s="10" t="s">
        <v>1279</v>
      </c>
      <c r="D28" s="2" t="s">
        <v>1210</v>
      </c>
      <c r="E28" s="10"/>
      <c r="F28" s="10" t="s">
        <v>163</v>
      </c>
      <c r="G28" s="10" t="s">
        <v>164</v>
      </c>
      <c r="H28" s="10" t="s">
        <v>0</v>
      </c>
      <c r="I28" s="10" t="s">
        <v>0</v>
      </c>
      <c r="J28" s="10" t="s">
        <v>259</v>
      </c>
      <c r="K28" s="10" t="s">
        <v>0</v>
      </c>
      <c r="L28" s="10" t="s">
        <v>0</v>
      </c>
      <c r="M28" s="10" t="s">
        <v>165</v>
      </c>
      <c r="N28" s="10" t="s">
        <v>0</v>
      </c>
      <c r="O28" s="10" t="s">
        <v>208</v>
      </c>
      <c r="P28" s="10" t="s">
        <v>166</v>
      </c>
      <c r="Q28" s="11"/>
    </row>
    <row r="29" spans="1:17">
      <c r="A29" s="6" t="s">
        <v>167</v>
      </c>
      <c r="B29" s="7" t="s">
        <v>1142</v>
      </c>
      <c r="C29" s="7" t="s">
        <v>1280</v>
      </c>
      <c r="D29" s="2" t="s">
        <v>1182</v>
      </c>
      <c r="E29" s="7"/>
      <c r="F29" s="7" t="s">
        <v>168</v>
      </c>
      <c r="G29" s="7" t="s">
        <v>169</v>
      </c>
      <c r="H29" s="7" t="s">
        <v>0</v>
      </c>
      <c r="I29" s="7" t="s">
        <v>0</v>
      </c>
      <c r="J29" s="7" t="s">
        <v>260</v>
      </c>
      <c r="K29" s="7" t="s">
        <v>0</v>
      </c>
      <c r="L29" s="7" t="s">
        <v>0</v>
      </c>
      <c r="M29" s="7" t="s">
        <v>170</v>
      </c>
      <c r="N29" s="7" t="s">
        <v>0</v>
      </c>
      <c r="O29" s="7" t="s">
        <v>209</v>
      </c>
      <c r="P29" s="7" t="s">
        <v>171</v>
      </c>
      <c r="Q29" s="8"/>
    </row>
    <row r="30" spans="1:17">
      <c r="A30" s="9" t="s">
        <v>172</v>
      </c>
      <c r="B30" s="10" t="s">
        <v>1143</v>
      </c>
      <c r="C30" s="10" t="s">
        <v>1295</v>
      </c>
      <c r="D30" s="2" t="s">
        <v>1294</v>
      </c>
      <c r="E30" s="10"/>
      <c r="F30" s="10" t="s">
        <v>173</v>
      </c>
      <c r="G30" s="10" t="s">
        <v>174</v>
      </c>
      <c r="H30" s="10" t="s">
        <v>253</v>
      </c>
      <c r="I30" s="10" t="s">
        <v>0</v>
      </c>
      <c r="J30" s="10" t="s">
        <v>0</v>
      </c>
      <c r="K30" s="10" t="s">
        <v>175</v>
      </c>
      <c r="L30" s="10" t="s">
        <v>0</v>
      </c>
      <c r="M30" s="10" t="s">
        <v>0</v>
      </c>
      <c r="N30" s="10" t="s">
        <v>0</v>
      </c>
      <c r="O30" s="10" t="s">
        <v>0</v>
      </c>
      <c r="P30" s="10" t="s">
        <v>0</v>
      </c>
      <c r="Q30" s="11"/>
    </row>
    <row r="31" spans="1:17">
      <c r="A31" s="6" t="s">
        <v>176</v>
      </c>
      <c r="B31" s="7" t="s">
        <v>1120</v>
      </c>
      <c r="C31" s="7" t="s">
        <v>1171</v>
      </c>
      <c r="D31" s="2" t="s">
        <v>1183</v>
      </c>
      <c r="E31" s="7" t="s">
        <v>1226</v>
      </c>
      <c r="F31" s="7" t="s">
        <v>177</v>
      </c>
      <c r="G31" s="7" t="s">
        <v>178</v>
      </c>
      <c r="H31" s="7" t="s">
        <v>254</v>
      </c>
      <c r="I31" s="7" t="s">
        <v>0</v>
      </c>
      <c r="J31" s="7" t="s">
        <v>285</v>
      </c>
      <c r="K31" s="7" t="s">
        <v>179</v>
      </c>
      <c r="L31" s="7" t="s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8"/>
    </row>
    <row r="32" spans="1:17">
      <c r="A32" s="9" t="s">
        <v>180</v>
      </c>
      <c r="B32" s="10" t="s">
        <v>576</v>
      </c>
      <c r="C32" s="10" t="s">
        <v>1281</v>
      </c>
      <c r="D32" s="2" t="s">
        <v>1191</v>
      </c>
      <c r="E32" s="10" t="s">
        <v>1231</v>
      </c>
      <c r="F32" s="10" t="s">
        <v>198</v>
      </c>
      <c r="G32" s="10">
        <v>3.23</v>
      </c>
      <c r="H32" s="10"/>
      <c r="I32" s="10" t="s">
        <v>0</v>
      </c>
      <c r="J32" s="10" t="s">
        <v>0</v>
      </c>
      <c r="K32" s="10" t="s">
        <v>199</v>
      </c>
      <c r="L32" s="10" t="s">
        <v>200</v>
      </c>
      <c r="M32" s="10" t="s">
        <v>201</v>
      </c>
      <c r="N32" s="10" t="s">
        <v>207</v>
      </c>
      <c r="O32" s="10" t="s">
        <v>0</v>
      </c>
      <c r="P32" s="10" t="s">
        <v>0</v>
      </c>
      <c r="Q32" s="11"/>
    </row>
    <row r="33" spans="1:17">
      <c r="A33" s="6" t="s">
        <v>184</v>
      </c>
      <c r="B33" s="7" t="s">
        <v>348</v>
      </c>
      <c r="C33" s="7" t="s">
        <v>1282</v>
      </c>
      <c r="D33" s="2" t="s">
        <v>1193</v>
      </c>
      <c r="E33" s="7" t="s">
        <v>1231</v>
      </c>
      <c r="F33" s="7" t="s">
        <v>202</v>
      </c>
      <c r="G33" s="7">
        <v>3.22</v>
      </c>
      <c r="H33" s="7"/>
      <c r="I33" s="7" t="s">
        <v>0</v>
      </c>
      <c r="J33" s="7" t="s">
        <v>0</v>
      </c>
      <c r="K33" s="7" t="s">
        <v>203</v>
      </c>
      <c r="L33" s="7" t="s">
        <v>204</v>
      </c>
      <c r="M33" s="7" t="s">
        <v>205</v>
      </c>
      <c r="N33" s="7" t="s">
        <v>206</v>
      </c>
      <c r="O33" s="7" t="s">
        <v>0</v>
      </c>
      <c r="P33" s="7" t="s">
        <v>0</v>
      </c>
      <c r="Q33" s="8"/>
    </row>
    <row r="34" spans="1:17">
      <c r="A34" s="9" t="s">
        <v>186</v>
      </c>
      <c r="B34" s="10" t="s">
        <v>1140</v>
      </c>
      <c r="C34" s="10" t="s">
        <v>1177</v>
      </c>
      <c r="D34" s="2" t="s">
        <v>1209</v>
      </c>
      <c r="E34" s="10"/>
      <c r="F34" s="10" t="s">
        <v>187</v>
      </c>
      <c r="G34" s="10" t="s">
        <v>188</v>
      </c>
      <c r="H34" s="10" t="s">
        <v>0</v>
      </c>
      <c r="I34" s="10" t="s">
        <v>0</v>
      </c>
      <c r="J34" s="10" t="s">
        <v>0</v>
      </c>
      <c r="K34" s="10" t="s">
        <v>0</v>
      </c>
      <c r="L34" s="10" t="s">
        <v>0</v>
      </c>
      <c r="M34" s="10" t="s">
        <v>189</v>
      </c>
      <c r="N34" s="10" t="s">
        <v>190</v>
      </c>
      <c r="O34" s="10" t="s">
        <v>191</v>
      </c>
      <c r="P34" s="10" t="s">
        <v>0</v>
      </c>
      <c r="Q34" s="11" t="s">
        <v>618</v>
      </c>
    </row>
    <row r="35" spans="1:17">
      <c r="A35" s="6" t="s">
        <v>192</v>
      </c>
      <c r="B35" s="7" t="s">
        <v>1141</v>
      </c>
      <c r="C35" s="7" t="s">
        <v>1176</v>
      </c>
      <c r="D35" s="2" t="s">
        <v>1208</v>
      </c>
      <c r="E35" s="7"/>
      <c r="F35" s="7" t="s">
        <v>49</v>
      </c>
      <c r="G35" s="7">
        <v>4.7</v>
      </c>
      <c r="H35" s="7" t="s">
        <v>0</v>
      </c>
      <c r="I35" s="7" t="s">
        <v>0</v>
      </c>
      <c r="J35" s="7" t="s">
        <v>0</v>
      </c>
      <c r="K35" s="7" t="s">
        <v>50</v>
      </c>
      <c r="L35" s="7" t="s">
        <v>0</v>
      </c>
      <c r="M35" s="7" t="s">
        <v>51</v>
      </c>
      <c r="N35" s="7" t="s">
        <v>52</v>
      </c>
      <c r="O35" s="7" t="s">
        <v>53</v>
      </c>
      <c r="P35" s="7" t="s">
        <v>0</v>
      </c>
      <c r="Q35" s="8"/>
    </row>
    <row r="36" spans="1:17">
      <c r="A36" s="6" t="s">
        <v>210</v>
      </c>
      <c r="B36" s="7" t="s">
        <v>1126</v>
      </c>
      <c r="C36" s="7" t="s">
        <v>1283</v>
      </c>
      <c r="D36" s="2" t="s">
        <v>1205</v>
      </c>
      <c r="E36" s="7" t="s">
        <v>1228</v>
      </c>
      <c r="F36" s="7" t="s">
        <v>222</v>
      </c>
      <c r="G36" s="7" t="s">
        <v>570</v>
      </c>
      <c r="H36" s="7" t="s">
        <v>249</v>
      </c>
      <c r="I36" s="7"/>
      <c r="J36" s="7" t="s">
        <v>263</v>
      </c>
      <c r="K36" s="7" t="s">
        <v>235</v>
      </c>
      <c r="L36" s="7"/>
      <c r="M36" s="7"/>
      <c r="N36" s="7" t="s">
        <v>40</v>
      </c>
      <c r="O36" s="7"/>
      <c r="P36" s="7"/>
      <c r="Q36" s="8" t="s">
        <v>213</v>
      </c>
    </row>
    <row r="37" spans="1:17">
      <c r="A37" s="9" t="s">
        <v>211</v>
      </c>
      <c r="B37" s="10" t="s">
        <v>1125</v>
      </c>
      <c r="C37" s="7" t="s">
        <v>1283</v>
      </c>
      <c r="D37" s="2" t="s">
        <v>1205</v>
      </c>
      <c r="E37" s="10"/>
      <c r="F37" s="10" t="s">
        <v>221</v>
      </c>
      <c r="G37" s="10" t="s">
        <v>227</v>
      </c>
      <c r="H37" s="10" t="s">
        <v>250</v>
      </c>
      <c r="I37" s="10"/>
      <c r="J37" s="10" t="s">
        <v>264</v>
      </c>
      <c r="K37" s="10" t="s">
        <v>234</v>
      </c>
      <c r="L37" s="10"/>
      <c r="M37" s="10"/>
      <c r="N37" s="10" t="s">
        <v>33</v>
      </c>
      <c r="O37" s="10"/>
      <c r="P37" s="10"/>
      <c r="Q37" s="11" t="s">
        <v>214</v>
      </c>
    </row>
    <row r="38" spans="1:17">
      <c r="A38" s="6" t="s">
        <v>317</v>
      </c>
      <c r="B38" s="7" t="s">
        <v>1121</v>
      </c>
      <c r="C38" s="7" t="s">
        <v>1283</v>
      </c>
      <c r="D38" s="2" t="s">
        <v>1204</v>
      </c>
      <c r="E38" s="7" t="s">
        <v>1226</v>
      </c>
      <c r="F38" s="7" t="s">
        <v>220</v>
      </c>
      <c r="G38" s="7" t="s">
        <v>226</v>
      </c>
      <c r="H38" s="7"/>
      <c r="I38" s="7" t="s">
        <v>1222</v>
      </c>
      <c r="J38" s="7" t="s">
        <v>265</v>
      </c>
      <c r="K38" s="7" t="s">
        <v>183</v>
      </c>
      <c r="L38" s="7"/>
      <c r="M38" s="7"/>
      <c r="N38" s="7" t="s">
        <v>230</v>
      </c>
      <c r="O38" s="7"/>
      <c r="P38" s="7"/>
      <c r="Q38" s="8" t="s">
        <v>215</v>
      </c>
    </row>
    <row r="39" spans="1:17">
      <c r="A39" s="9" t="s">
        <v>318</v>
      </c>
      <c r="B39" s="10" t="s">
        <v>1124</v>
      </c>
      <c r="C39" s="7" t="s">
        <v>1283</v>
      </c>
      <c r="D39" s="2" t="s">
        <v>1207</v>
      </c>
      <c r="E39" s="10" t="s">
        <v>1226</v>
      </c>
      <c r="F39" s="10" t="s">
        <v>219</v>
      </c>
      <c r="G39" s="10" t="s">
        <v>225</v>
      </c>
      <c r="H39" s="10"/>
      <c r="I39" s="10" t="s">
        <v>1221</v>
      </c>
      <c r="J39" s="10" t="s">
        <v>266</v>
      </c>
      <c r="K39" s="10" t="s">
        <v>185</v>
      </c>
      <c r="L39" s="10"/>
      <c r="M39" s="10"/>
      <c r="N39" s="10" t="s">
        <v>231</v>
      </c>
      <c r="O39" s="10"/>
      <c r="P39" s="10"/>
      <c r="Q39" s="11" t="s">
        <v>216</v>
      </c>
    </row>
    <row r="40" spans="1:17">
      <c r="A40" s="6" t="s">
        <v>573</v>
      </c>
      <c r="B40" s="7" t="s">
        <v>1127</v>
      </c>
      <c r="C40" s="7" t="s">
        <v>1283</v>
      </c>
      <c r="D40" s="2" t="s">
        <v>1214</v>
      </c>
      <c r="E40" s="7" t="s">
        <v>1227</v>
      </c>
      <c r="F40" s="7" t="s">
        <v>223</v>
      </c>
      <c r="G40" s="7" t="s">
        <v>228</v>
      </c>
      <c r="H40" s="7" t="s">
        <v>247</v>
      </c>
      <c r="I40" s="7"/>
      <c r="J40" s="7" t="s">
        <v>375</v>
      </c>
      <c r="K40" s="7" t="s">
        <v>236</v>
      </c>
      <c r="L40" s="7"/>
      <c r="M40" s="7"/>
      <c r="N40" s="7" t="s">
        <v>47</v>
      </c>
      <c r="O40" s="7"/>
      <c r="P40" s="7"/>
      <c r="Q40" s="8" t="s">
        <v>218</v>
      </c>
    </row>
    <row r="41" spans="1:17">
      <c r="A41" s="9" t="s">
        <v>574</v>
      </c>
      <c r="B41" s="10" t="s">
        <v>1122</v>
      </c>
      <c r="C41" s="7" t="s">
        <v>1283</v>
      </c>
      <c r="D41" s="2" t="s">
        <v>1206</v>
      </c>
      <c r="E41" s="10" t="s">
        <v>1229</v>
      </c>
      <c r="F41" s="10" t="s">
        <v>224</v>
      </c>
      <c r="G41" s="10" t="s">
        <v>229</v>
      </c>
      <c r="H41" s="10" t="s">
        <v>248</v>
      </c>
      <c r="I41" s="10"/>
      <c r="J41" s="10" t="s">
        <v>374</v>
      </c>
      <c r="K41" s="10" t="s">
        <v>237</v>
      </c>
      <c r="L41" s="10"/>
      <c r="M41" s="10"/>
      <c r="N41" s="10" t="s">
        <v>52</v>
      </c>
      <c r="O41" s="10"/>
      <c r="P41" s="10"/>
      <c r="Q41" s="11" t="s">
        <v>217</v>
      </c>
    </row>
    <row r="42" spans="1:17">
      <c r="A42" s="9" t="s">
        <v>575</v>
      </c>
      <c r="B42" s="10" t="s">
        <v>575</v>
      </c>
      <c r="C42" s="10" t="s">
        <v>1157</v>
      </c>
      <c r="D42" s="2" t="s">
        <v>1190</v>
      </c>
      <c r="E42" s="10" t="s">
        <v>1226</v>
      </c>
      <c r="F42" s="190" t="s">
        <v>577</v>
      </c>
      <c r="G42" s="10" t="s">
        <v>583</v>
      </c>
      <c r="H42" s="10"/>
      <c r="I42" s="10" t="s">
        <v>1215</v>
      </c>
      <c r="J42" s="10"/>
      <c r="K42" s="10" t="s">
        <v>590</v>
      </c>
      <c r="L42" s="10"/>
      <c r="M42" s="10"/>
      <c r="N42" s="10"/>
      <c r="O42" s="10" t="s">
        <v>591</v>
      </c>
      <c r="P42" s="10"/>
      <c r="Q42" s="11" t="s">
        <v>610</v>
      </c>
    </row>
    <row r="43" spans="1:17">
      <c r="A43" s="6" t="s">
        <v>576</v>
      </c>
      <c r="B43" s="7" t="s">
        <v>347</v>
      </c>
      <c r="C43" s="10" t="s">
        <v>1158</v>
      </c>
      <c r="D43" s="2" t="s">
        <v>1192</v>
      </c>
      <c r="E43" s="7" t="s">
        <v>1226</v>
      </c>
      <c r="F43" s="7" t="s">
        <v>578</v>
      </c>
      <c r="G43" s="7" t="s">
        <v>584</v>
      </c>
      <c r="H43" s="7"/>
      <c r="I43" s="7" t="s">
        <v>1216</v>
      </c>
      <c r="J43" s="7"/>
      <c r="K43" s="7" t="s">
        <v>592</v>
      </c>
      <c r="L43" s="7"/>
      <c r="M43" s="7"/>
      <c r="N43" s="7"/>
      <c r="O43" s="7" t="s">
        <v>593</v>
      </c>
      <c r="P43" s="7"/>
      <c r="Q43" s="8" t="s">
        <v>611</v>
      </c>
    </row>
    <row r="44" spans="1:17">
      <c r="A44" s="9" t="s">
        <v>347</v>
      </c>
      <c r="B44" s="10" t="s">
        <v>349</v>
      </c>
      <c r="C44" s="10" t="s">
        <v>1159</v>
      </c>
      <c r="D44" s="2" t="s">
        <v>1194</v>
      </c>
      <c r="E44" s="10" t="s">
        <v>1226</v>
      </c>
      <c r="F44" s="10" t="s">
        <v>579</v>
      </c>
      <c r="G44" s="10" t="s">
        <v>585</v>
      </c>
      <c r="H44" s="10"/>
      <c r="I44" s="10"/>
      <c r="J44" s="10"/>
      <c r="K44" s="10" t="s">
        <v>127</v>
      </c>
      <c r="L44" s="10"/>
      <c r="M44" s="10"/>
      <c r="N44" s="10"/>
      <c r="O44" s="10" t="s">
        <v>596</v>
      </c>
      <c r="P44" s="10"/>
      <c r="Q44" s="11" t="s">
        <v>612</v>
      </c>
    </row>
    <row r="45" spans="1:17">
      <c r="A45" s="6" t="s">
        <v>348</v>
      </c>
      <c r="B45" s="7" t="s">
        <v>351</v>
      </c>
      <c r="C45" s="10" t="s">
        <v>1160</v>
      </c>
      <c r="D45" s="2" t="s">
        <v>1195</v>
      </c>
      <c r="E45" s="7" t="s">
        <v>1226</v>
      </c>
      <c r="F45" s="7" t="s">
        <v>580</v>
      </c>
      <c r="G45" s="7" t="s">
        <v>586</v>
      </c>
      <c r="H45" s="7"/>
      <c r="I45" s="7"/>
      <c r="J45" s="7"/>
      <c r="K45" s="7" t="s">
        <v>122</v>
      </c>
      <c r="L45" s="7"/>
      <c r="M45" s="7"/>
      <c r="N45" s="7"/>
      <c r="O45" s="7" t="s">
        <v>594</v>
      </c>
      <c r="P45" s="7"/>
      <c r="Q45" s="8" t="s">
        <v>613</v>
      </c>
    </row>
    <row r="46" spans="1:17">
      <c r="A46" s="9" t="s">
        <v>349</v>
      </c>
      <c r="B46" s="10" t="s">
        <v>353</v>
      </c>
      <c r="C46" s="10" t="s">
        <v>1161</v>
      </c>
      <c r="D46" s="2" t="s">
        <v>1196</v>
      </c>
      <c r="E46" s="10" t="s">
        <v>1226</v>
      </c>
      <c r="F46" s="10" t="s">
        <v>581</v>
      </c>
      <c r="G46" s="10" t="s">
        <v>587</v>
      </c>
      <c r="H46" s="10"/>
      <c r="I46" s="10"/>
      <c r="J46" s="10"/>
      <c r="K46" s="10" t="s">
        <v>100</v>
      </c>
      <c r="L46" s="10"/>
      <c r="M46" s="10"/>
      <c r="N46" s="10"/>
      <c r="O46" s="10" t="s">
        <v>597</v>
      </c>
      <c r="P46" s="10"/>
      <c r="Q46" s="11" t="s">
        <v>614</v>
      </c>
    </row>
    <row r="47" spans="1:17">
      <c r="A47" s="6" t="s">
        <v>350</v>
      </c>
      <c r="B47" s="7" t="s">
        <v>1137</v>
      </c>
      <c r="C47" s="10" t="s">
        <v>1180</v>
      </c>
      <c r="D47" s="2" t="s">
        <v>1213</v>
      </c>
      <c r="E47" s="7" t="s">
        <v>1226</v>
      </c>
      <c r="F47" s="7" t="s">
        <v>582</v>
      </c>
      <c r="G47" s="7" t="s">
        <v>588</v>
      </c>
      <c r="H47" s="7"/>
      <c r="I47" s="7"/>
      <c r="J47" s="7"/>
      <c r="K47" s="7" t="s">
        <v>598</v>
      </c>
      <c r="L47" s="7"/>
      <c r="M47" s="7"/>
      <c r="N47" s="7"/>
      <c r="O47" s="7" t="s">
        <v>595</v>
      </c>
      <c r="P47" s="7"/>
      <c r="Q47" s="8" t="s">
        <v>615</v>
      </c>
    </row>
    <row r="48" spans="1:17">
      <c r="A48" s="9" t="s">
        <v>1116</v>
      </c>
      <c r="B48" s="10" t="s">
        <v>318</v>
      </c>
      <c r="C48" s="10"/>
      <c r="D48" s="2" t="s">
        <v>1189</v>
      </c>
      <c r="E48" s="10" t="s">
        <v>1231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/>
    </row>
    <row r="49" spans="1:17">
      <c r="A49" s="6" t="s">
        <v>1111</v>
      </c>
      <c r="B49" s="7" t="s">
        <v>211</v>
      </c>
      <c r="C49" s="7"/>
      <c r="D49" s="2" t="s">
        <v>1188</v>
      </c>
      <c r="E49" s="7" t="s">
        <v>1231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</row>
    <row r="50" spans="1:17">
      <c r="A50" s="9" t="s">
        <v>1114</v>
      </c>
      <c r="B50" s="10" t="s">
        <v>1115</v>
      </c>
      <c r="C50" s="10"/>
      <c r="D50" s="2" t="s">
        <v>1146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</row>
    <row r="51" spans="1:17">
      <c r="A51" s="6" t="s">
        <v>1112</v>
      </c>
      <c r="B51" s="7" t="s">
        <v>1113</v>
      </c>
      <c r="C51" s="7"/>
      <c r="D51" s="2" t="s">
        <v>1147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CF5C-78CE-422B-98C2-EEFA899FDA69}">
  <sheetPr>
    <pageSetUpPr fitToPage="1"/>
  </sheetPr>
  <dimension ref="A1:L49"/>
  <sheetViews>
    <sheetView workbookViewId="0">
      <selection activeCell="F46" sqref="F46"/>
    </sheetView>
  </sheetViews>
  <sheetFormatPr defaultRowHeight="15"/>
  <cols>
    <col min="1" max="2" width="11" style="2" customWidth="1"/>
    <col min="3" max="3" width="18.5703125" style="2" customWidth="1"/>
    <col min="4" max="4" width="21.7109375" style="2" customWidth="1"/>
    <col min="5" max="6" width="23.85546875" style="2" customWidth="1"/>
    <col min="7" max="7" width="23.28515625" style="2" bestFit="1" customWidth="1"/>
    <col min="8" max="8" width="12.5703125" style="2" customWidth="1"/>
    <col min="9" max="9" width="23.28515625" style="2" bestFit="1" customWidth="1"/>
    <col min="10" max="10" width="15" style="2" bestFit="1" customWidth="1"/>
    <col min="11" max="11" width="24.28515625" style="2" bestFit="1" customWidth="1"/>
    <col min="12" max="12" width="17.28515625" style="2" customWidth="1"/>
  </cols>
  <sheetData>
    <row r="1" spans="1:12">
      <c r="A1" s="2" t="s">
        <v>1</v>
      </c>
      <c r="B1" s="2" t="s">
        <v>2</v>
      </c>
      <c r="C1" s="2" t="s">
        <v>626</v>
      </c>
      <c r="D1" s="2" t="s">
        <v>627</v>
      </c>
      <c r="E1" s="2" t="s">
        <v>628</v>
      </c>
      <c r="F1" s="2" t="s">
        <v>629</v>
      </c>
      <c r="G1" s="2" t="s">
        <v>630</v>
      </c>
      <c r="H1" s="2" t="s">
        <v>631</v>
      </c>
      <c r="I1" s="2" t="s">
        <v>632</v>
      </c>
      <c r="J1" s="2" t="s">
        <v>633</v>
      </c>
      <c r="K1" s="2" t="s">
        <v>634</v>
      </c>
      <c r="L1" s="2" t="s">
        <v>635</v>
      </c>
    </row>
    <row r="2" spans="1:12">
      <c r="A2" s="2" t="s">
        <v>16</v>
      </c>
      <c r="B2" s="2" t="s">
        <v>17</v>
      </c>
      <c r="C2" s="173" t="s">
        <v>636</v>
      </c>
      <c r="D2" s="172" t="s">
        <v>639</v>
      </c>
      <c r="E2" s="167" t="s">
        <v>638</v>
      </c>
      <c r="F2" s="2" t="s">
        <v>640</v>
      </c>
      <c r="G2" s="166" t="s">
        <v>641</v>
      </c>
      <c r="H2" s="168" t="s">
        <v>642</v>
      </c>
      <c r="I2" s="2" t="s">
        <v>643</v>
      </c>
      <c r="J2" s="169" t="s">
        <v>644</v>
      </c>
    </row>
    <row r="3" spans="1:12">
      <c r="A3" s="2" t="s">
        <v>22</v>
      </c>
      <c r="B3" s="2" t="s">
        <v>23</v>
      </c>
      <c r="C3" s="173" t="s">
        <v>637</v>
      </c>
      <c r="D3" s="172" t="s">
        <v>645</v>
      </c>
      <c r="E3" s="167" t="s">
        <v>646</v>
      </c>
      <c r="F3" s="2" t="s">
        <v>647</v>
      </c>
      <c r="G3" s="166" t="s">
        <v>648</v>
      </c>
      <c r="H3" s="168" t="s">
        <v>649</v>
      </c>
      <c r="I3" s="2" t="s">
        <v>650</v>
      </c>
      <c r="J3" s="169" t="s">
        <v>651</v>
      </c>
    </row>
    <row r="4" spans="1:12">
      <c r="A4" s="2" t="s">
        <v>28</v>
      </c>
      <c r="B4" s="2" t="s">
        <v>29</v>
      </c>
      <c r="C4" s="2" t="s">
        <v>890</v>
      </c>
      <c r="D4" s="166" t="s">
        <v>891</v>
      </c>
      <c r="E4" s="174" t="s">
        <v>892</v>
      </c>
      <c r="F4" s="172" t="s">
        <v>893</v>
      </c>
      <c r="G4" s="165" t="s">
        <v>894</v>
      </c>
      <c r="H4" s="168" t="s">
        <v>895</v>
      </c>
    </row>
    <row r="5" spans="1:12">
      <c r="A5" s="2" t="s">
        <v>35</v>
      </c>
      <c r="B5" s="2" t="s">
        <v>36</v>
      </c>
      <c r="C5" s="2" t="s">
        <v>896</v>
      </c>
      <c r="D5" s="166" t="s">
        <v>900</v>
      </c>
      <c r="E5" s="174" t="s">
        <v>901</v>
      </c>
      <c r="F5" s="172" t="s">
        <v>897</v>
      </c>
      <c r="G5" s="165" t="s">
        <v>898</v>
      </c>
      <c r="H5" s="168" t="s">
        <v>899</v>
      </c>
    </row>
    <row r="6" spans="1:12">
      <c r="A6" s="2" t="s">
        <v>42</v>
      </c>
      <c r="B6" s="2" t="s">
        <v>43</v>
      </c>
      <c r="C6" s="2" t="s">
        <v>902</v>
      </c>
      <c r="D6" s="166" t="s">
        <v>906</v>
      </c>
      <c r="E6" s="174" t="s">
        <v>905</v>
      </c>
      <c r="F6" s="172" t="s">
        <v>904</v>
      </c>
      <c r="G6" s="165" t="s">
        <v>903</v>
      </c>
      <c r="H6" s="168" t="s">
        <v>910</v>
      </c>
    </row>
    <row r="7" spans="1:12">
      <c r="A7" s="2">
        <v>5</v>
      </c>
      <c r="B7" s="2" t="s">
        <v>193</v>
      </c>
      <c r="C7" s="2" t="s">
        <v>914</v>
      </c>
      <c r="D7" s="166" t="s">
        <v>915</v>
      </c>
      <c r="E7" s="174" t="s">
        <v>916</v>
      </c>
      <c r="F7" s="172" t="s">
        <v>639</v>
      </c>
      <c r="G7" s="165" t="s">
        <v>917</v>
      </c>
      <c r="H7" s="168" t="s">
        <v>918</v>
      </c>
    </row>
    <row r="8" spans="1:12">
      <c r="A8" s="2">
        <v>6</v>
      </c>
      <c r="B8" s="2" t="s">
        <v>64</v>
      </c>
      <c r="C8" s="2" t="s">
        <v>824</v>
      </c>
      <c r="D8" s="2" t="s">
        <v>825</v>
      </c>
      <c r="E8" s="166" t="s">
        <v>826</v>
      </c>
      <c r="F8" s="174" t="s">
        <v>827</v>
      </c>
      <c r="G8" s="165" t="s">
        <v>828</v>
      </c>
      <c r="H8" s="168" t="s">
        <v>829</v>
      </c>
      <c r="I8" s="2" t="s">
        <v>830</v>
      </c>
      <c r="K8" s="2" t="s">
        <v>831</v>
      </c>
    </row>
    <row r="9" spans="1:12">
      <c r="A9" s="2">
        <v>7</v>
      </c>
      <c r="B9" s="2" t="s">
        <v>54</v>
      </c>
      <c r="C9" s="2" t="s">
        <v>856</v>
      </c>
      <c r="D9" s="172" t="s">
        <v>857</v>
      </c>
      <c r="E9" s="167" t="s">
        <v>858</v>
      </c>
      <c r="F9" s="174" t="s">
        <v>775</v>
      </c>
      <c r="G9" s="165" t="s">
        <v>859</v>
      </c>
      <c r="H9" s="168" t="s">
        <v>860</v>
      </c>
      <c r="I9" s="166" t="s">
        <v>861</v>
      </c>
      <c r="K9" s="2" t="s">
        <v>862</v>
      </c>
      <c r="L9" s="165" t="s">
        <v>863</v>
      </c>
    </row>
    <row r="10" spans="1:12">
      <c r="A10" s="2">
        <v>8</v>
      </c>
      <c r="B10" s="2" t="s">
        <v>59</v>
      </c>
      <c r="C10" s="2" t="s">
        <v>848</v>
      </c>
      <c r="D10" s="172" t="s">
        <v>849</v>
      </c>
      <c r="E10" s="167" t="s">
        <v>850</v>
      </c>
      <c r="F10" s="174" t="s">
        <v>766</v>
      </c>
      <c r="G10" s="165" t="s">
        <v>851</v>
      </c>
      <c r="H10" s="168" t="s">
        <v>852</v>
      </c>
      <c r="I10" s="166" t="s">
        <v>853</v>
      </c>
      <c r="K10" s="2" t="s">
        <v>854</v>
      </c>
      <c r="L10" s="165" t="s">
        <v>855</v>
      </c>
    </row>
    <row r="11" spans="1:12">
      <c r="A11" s="2" t="s">
        <v>68</v>
      </c>
      <c r="B11" s="2" t="s">
        <v>69</v>
      </c>
      <c r="C11" s="2" t="s">
        <v>834</v>
      </c>
      <c r="D11" s="2" t="s">
        <v>835</v>
      </c>
      <c r="E11" s="166" t="s">
        <v>836</v>
      </c>
      <c r="F11" s="174" t="s">
        <v>837</v>
      </c>
      <c r="G11" s="165" t="s">
        <v>832</v>
      </c>
      <c r="H11" s="168" t="s">
        <v>833</v>
      </c>
      <c r="I11" s="2" t="s">
        <v>838</v>
      </c>
      <c r="K11" s="2" t="s">
        <v>839</v>
      </c>
    </row>
    <row r="12" spans="1:12">
      <c r="A12" s="2" t="s">
        <v>73</v>
      </c>
      <c r="B12" s="2" t="s">
        <v>74</v>
      </c>
      <c r="C12" s="2" t="s">
        <v>606</v>
      </c>
      <c r="D12" s="166" t="s">
        <v>802</v>
      </c>
      <c r="E12" s="174" t="s">
        <v>77</v>
      </c>
      <c r="F12" s="169" t="s">
        <v>803</v>
      </c>
      <c r="G12" s="165" t="s">
        <v>804</v>
      </c>
      <c r="H12" s="168" t="s">
        <v>805</v>
      </c>
      <c r="I12" s="2" t="s">
        <v>806</v>
      </c>
      <c r="K12" s="2" t="s">
        <v>807</v>
      </c>
    </row>
    <row r="13" spans="1:12">
      <c r="A13" s="2" t="s">
        <v>79</v>
      </c>
      <c r="B13" s="2" t="s">
        <v>80</v>
      </c>
      <c r="C13" s="2" t="s">
        <v>608</v>
      </c>
      <c r="D13" s="166" t="s">
        <v>814</v>
      </c>
      <c r="E13" s="173" t="s">
        <v>733</v>
      </c>
      <c r="F13" s="169" t="s">
        <v>815</v>
      </c>
      <c r="G13" s="165" t="s">
        <v>816</v>
      </c>
      <c r="H13" s="168" t="s">
        <v>817</v>
      </c>
      <c r="I13" s="2" t="s">
        <v>818</v>
      </c>
      <c r="K13" s="2" t="s">
        <v>679</v>
      </c>
    </row>
    <row r="14" spans="1:12">
      <c r="A14" s="2" t="s">
        <v>85</v>
      </c>
      <c r="B14" s="2" t="s">
        <v>86</v>
      </c>
      <c r="C14" s="2" t="s">
        <v>607</v>
      </c>
      <c r="D14" s="166" t="s">
        <v>808</v>
      </c>
      <c r="E14" s="174" t="s">
        <v>89</v>
      </c>
      <c r="F14" s="169" t="s">
        <v>809</v>
      </c>
      <c r="G14" s="165" t="s">
        <v>810</v>
      </c>
      <c r="H14" s="168" t="s">
        <v>811</v>
      </c>
      <c r="I14" s="2" t="s">
        <v>812</v>
      </c>
      <c r="K14" s="2" t="s">
        <v>813</v>
      </c>
    </row>
    <row r="15" spans="1:12">
      <c r="A15" s="2" t="s">
        <v>91</v>
      </c>
      <c r="B15" s="2" t="s">
        <v>92</v>
      </c>
      <c r="C15" s="2" t="s">
        <v>609</v>
      </c>
      <c r="D15" s="166" t="s">
        <v>819</v>
      </c>
      <c r="E15" s="173" t="s">
        <v>740</v>
      </c>
      <c r="F15" s="169" t="s">
        <v>820</v>
      </c>
      <c r="G15" s="165" t="s">
        <v>821</v>
      </c>
      <c r="H15" s="168" t="s">
        <v>822</v>
      </c>
      <c r="I15" s="2" t="s">
        <v>823</v>
      </c>
      <c r="K15" s="2" t="s">
        <v>682</v>
      </c>
    </row>
    <row r="16" spans="1:12">
      <c r="A16" s="2" t="s">
        <v>97</v>
      </c>
      <c r="B16" s="2" t="s">
        <v>98</v>
      </c>
      <c r="C16" s="2" t="s">
        <v>684</v>
      </c>
      <c r="D16" s="166" t="s">
        <v>685</v>
      </c>
      <c r="E16" s="167" t="s">
        <v>686</v>
      </c>
      <c r="F16" s="174" t="s">
        <v>101</v>
      </c>
      <c r="G16" s="2" t="s">
        <v>687</v>
      </c>
      <c r="H16" s="168" t="s">
        <v>688</v>
      </c>
      <c r="I16" s="187" t="s">
        <v>689</v>
      </c>
      <c r="J16" s="2" t="s">
        <v>690</v>
      </c>
      <c r="K16" s="2" t="s">
        <v>691</v>
      </c>
      <c r="L16" s="165" t="s">
        <v>692</v>
      </c>
    </row>
    <row r="17" spans="1:12">
      <c r="A17" s="2" t="s">
        <v>103</v>
      </c>
      <c r="B17" s="2" t="s">
        <v>104</v>
      </c>
      <c r="C17" s="2" t="s">
        <v>640</v>
      </c>
      <c r="D17" s="166" t="s">
        <v>693</v>
      </c>
      <c r="E17" s="167" t="s">
        <v>694</v>
      </c>
      <c r="F17" s="174" t="s">
        <v>107</v>
      </c>
      <c r="G17" s="2" t="s">
        <v>695</v>
      </c>
      <c r="H17" s="168" t="s">
        <v>696</v>
      </c>
      <c r="I17" s="2" t="s">
        <v>697</v>
      </c>
      <c r="J17" s="2" t="s">
        <v>698</v>
      </c>
      <c r="K17" s="2" t="s">
        <v>699</v>
      </c>
      <c r="L17" s="165" t="s">
        <v>700</v>
      </c>
    </row>
    <row r="18" spans="1:12">
      <c r="A18" s="2" t="s">
        <v>109</v>
      </c>
      <c r="B18" s="2" t="s">
        <v>110</v>
      </c>
      <c r="C18" s="2" t="s">
        <v>723</v>
      </c>
      <c r="D18" s="170" t="s">
        <v>724</v>
      </c>
      <c r="E18" s="167" t="s">
        <v>725</v>
      </c>
      <c r="F18" s="2" t="s">
        <v>726</v>
      </c>
      <c r="G18" s="171" t="s">
        <v>549</v>
      </c>
      <c r="H18" s="168" t="s">
        <v>727</v>
      </c>
      <c r="I18" s="2" t="s">
        <v>364</v>
      </c>
      <c r="J18" s="2" t="s">
        <v>728</v>
      </c>
      <c r="K18" s="2" t="s">
        <v>729</v>
      </c>
      <c r="L18" s="165" t="s">
        <v>730</v>
      </c>
    </row>
    <row r="19" spans="1:12">
      <c r="A19" s="2" t="s">
        <v>114</v>
      </c>
      <c r="B19" s="2" t="s">
        <v>115</v>
      </c>
      <c r="C19" s="2" t="s">
        <v>716</v>
      </c>
      <c r="D19" s="170" t="s">
        <v>717</v>
      </c>
      <c r="E19" s="167" t="s">
        <v>718</v>
      </c>
      <c r="F19" s="2" t="s">
        <v>117</v>
      </c>
      <c r="G19" s="171" t="s">
        <v>548</v>
      </c>
      <c r="H19" s="168" t="s">
        <v>719</v>
      </c>
      <c r="I19" s="2" t="s">
        <v>363</v>
      </c>
      <c r="J19" s="2" t="s">
        <v>720</v>
      </c>
      <c r="K19" s="2" t="s">
        <v>721</v>
      </c>
      <c r="L19" s="165" t="s">
        <v>722</v>
      </c>
    </row>
    <row r="20" spans="1:12">
      <c r="A20" s="2" t="s">
        <v>119</v>
      </c>
      <c r="B20" s="2" t="s">
        <v>120</v>
      </c>
      <c r="C20" s="2" t="s">
        <v>647</v>
      </c>
      <c r="D20" s="166" t="s">
        <v>672</v>
      </c>
      <c r="E20" s="167" t="s">
        <v>673</v>
      </c>
      <c r="F20" s="170" t="s">
        <v>674</v>
      </c>
      <c r="G20" s="2" t="s">
        <v>653</v>
      </c>
      <c r="H20" s="168" t="s">
        <v>675</v>
      </c>
      <c r="I20" s="187" t="s">
        <v>676</v>
      </c>
      <c r="J20" s="2" t="s">
        <v>681</v>
      </c>
      <c r="K20" s="2" t="s">
        <v>682</v>
      </c>
      <c r="L20" s="165" t="s">
        <v>683</v>
      </c>
    </row>
    <row r="21" spans="1:12">
      <c r="A21" s="2" t="s">
        <v>124</v>
      </c>
      <c r="B21" s="2" t="s">
        <v>125</v>
      </c>
      <c r="C21" s="2" t="s">
        <v>666</v>
      </c>
      <c r="D21" s="166" t="s">
        <v>667</v>
      </c>
      <c r="E21" s="167" t="s">
        <v>668</v>
      </c>
      <c r="F21" s="170" t="s">
        <v>669</v>
      </c>
      <c r="G21" s="2" t="s">
        <v>670</v>
      </c>
      <c r="H21" s="168" t="s">
        <v>671</v>
      </c>
      <c r="I21" s="187" t="s">
        <v>677</v>
      </c>
      <c r="J21" s="2" t="s">
        <v>678</v>
      </c>
      <c r="K21" s="2" t="s">
        <v>679</v>
      </c>
      <c r="L21" s="165" t="s">
        <v>680</v>
      </c>
    </row>
    <row r="22" spans="1:12">
      <c r="A22" s="2" t="s">
        <v>129</v>
      </c>
      <c r="B22" s="2" t="s">
        <v>130</v>
      </c>
      <c r="C22" s="2" t="s">
        <v>746</v>
      </c>
      <c r="D22" s="2" t="s">
        <v>670</v>
      </c>
      <c r="E22" s="167" t="s">
        <v>747</v>
      </c>
      <c r="F22" s="174" t="s">
        <v>748</v>
      </c>
      <c r="G22" s="171" t="s">
        <v>749</v>
      </c>
      <c r="H22" s="168" t="s">
        <v>750</v>
      </c>
      <c r="I22" s="2" t="s">
        <v>751</v>
      </c>
      <c r="J22" s="2" t="s">
        <v>752</v>
      </c>
      <c r="K22" s="2" t="s">
        <v>753</v>
      </c>
      <c r="L22" s="165" t="s">
        <v>754</v>
      </c>
    </row>
    <row r="23" spans="1:12">
      <c r="A23" s="2" t="s">
        <v>134</v>
      </c>
      <c r="B23" s="2" t="s">
        <v>135</v>
      </c>
      <c r="C23" s="2" t="s">
        <v>755</v>
      </c>
      <c r="D23" s="2" t="s">
        <v>662</v>
      </c>
      <c r="E23" s="167" t="s">
        <v>756</v>
      </c>
      <c r="F23" s="174" t="s">
        <v>757</v>
      </c>
      <c r="G23" s="171" t="s">
        <v>758</v>
      </c>
      <c r="H23" s="168" t="s">
        <v>759</v>
      </c>
      <c r="I23" s="2" t="s">
        <v>760</v>
      </c>
      <c r="J23" s="2" t="s">
        <v>761</v>
      </c>
      <c r="K23" s="2" t="s">
        <v>762</v>
      </c>
      <c r="L23" s="165" t="s">
        <v>763</v>
      </c>
    </row>
    <row r="24" spans="1:12">
      <c r="A24" s="2" t="s">
        <v>139</v>
      </c>
      <c r="B24" s="2" t="s">
        <v>140</v>
      </c>
      <c r="C24" s="2" t="s">
        <v>731</v>
      </c>
      <c r="D24" s="166" t="s">
        <v>732</v>
      </c>
      <c r="E24" s="173" t="s">
        <v>733</v>
      </c>
      <c r="F24" s="2" t="s">
        <v>653</v>
      </c>
      <c r="G24" s="171" t="s">
        <v>734</v>
      </c>
      <c r="H24" s="168" t="s">
        <v>735</v>
      </c>
      <c r="I24" s="2" t="s">
        <v>365</v>
      </c>
      <c r="J24" s="2" t="s">
        <v>736</v>
      </c>
      <c r="L24" s="165" t="s">
        <v>737</v>
      </c>
    </row>
    <row r="25" spans="1:12">
      <c r="A25" s="2" t="s">
        <v>144</v>
      </c>
      <c r="B25" s="2" t="s">
        <v>145</v>
      </c>
      <c r="C25" s="2" t="s">
        <v>738</v>
      </c>
      <c r="D25" s="166" t="s">
        <v>739</v>
      </c>
      <c r="E25" s="173" t="s">
        <v>740</v>
      </c>
      <c r="F25" s="174" t="s">
        <v>741</v>
      </c>
      <c r="G25" s="171" t="s">
        <v>742</v>
      </c>
      <c r="H25" s="168" t="s">
        <v>743</v>
      </c>
      <c r="I25" s="2" t="s">
        <v>366</v>
      </c>
      <c r="J25" s="2" t="s">
        <v>744</v>
      </c>
      <c r="L25" s="165" t="s">
        <v>745</v>
      </c>
    </row>
    <row r="26" spans="1:12">
      <c r="A26" s="2" t="s">
        <v>151</v>
      </c>
      <c r="B26" s="2" t="s">
        <v>152</v>
      </c>
      <c r="C26" s="170" t="s">
        <v>652</v>
      </c>
      <c r="D26" s="2" t="s">
        <v>653</v>
      </c>
      <c r="E26" s="167" t="s">
        <v>654</v>
      </c>
      <c r="F26" s="2" t="s">
        <v>655</v>
      </c>
      <c r="G26" s="166" t="s">
        <v>656</v>
      </c>
      <c r="H26" s="168" t="s">
        <v>657</v>
      </c>
      <c r="I26" s="2" t="s">
        <v>658</v>
      </c>
      <c r="J26" s="2" t="s">
        <v>659</v>
      </c>
    </row>
    <row r="27" spans="1:12">
      <c r="A27" s="2" t="s">
        <v>156</v>
      </c>
      <c r="B27" s="2" t="s">
        <v>157</v>
      </c>
      <c r="C27" s="170" t="s">
        <v>660</v>
      </c>
      <c r="D27" s="2" t="s">
        <v>160</v>
      </c>
      <c r="E27" s="167" t="s">
        <v>661</v>
      </c>
      <c r="F27" s="2" t="s">
        <v>662</v>
      </c>
      <c r="G27" s="166" t="s">
        <v>663</v>
      </c>
      <c r="H27" s="168" t="s">
        <v>664</v>
      </c>
      <c r="I27" s="2" t="s">
        <v>665</v>
      </c>
      <c r="J27" s="2" t="s">
        <v>643</v>
      </c>
    </row>
    <row r="28" spans="1:12">
      <c r="A28" s="2" t="s">
        <v>162</v>
      </c>
      <c r="B28" s="2" t="s">
        <v>163</v>
      </c>
      <c r="C28" s="2" t="s">
        <v>782</v>
      </c>
      <c r="D28" s="2" t="s">
        <v>783</v>
      </c>
      <c r="E28" s="169" t="s">
        <v>784</v>
      </c>
      <c r="F28" s="2" t="s">
        <v>785</v>
      </c>
      <c r="G28" s="171" t="s">
        <v>786</v>
      </c>
      <c r="H28" s="168" t="s">
        <v>787</v>
      </c>
      <c r="I28" s="2" t="s">
        <v>788</v>
      </c>
      <c r="J28" s="2" t="s">
        <v>789</v>
      </c>
      <c r="K28" s="2" t="s">
        <v>790</v>
      </c>
      <c r="L28" s="165" t="s">
        <v>791</v>
      </c>
    </row>
    <row r="29" spans="1:12">
      <c r="A29" s="2" t="s">
        <v>167</v>
      </c>
      <c r="B29" s="2" t="s">
        <v>168</v>
      </c>
      <c r="C29" s="2" t="s">
        <v>792</v>
      </c>
      <c r="D29" s="2" t="s">
        <v>793</v>
      </c>
      <c r="E29" s="169" t="s">
        <v>794</v>
      </c>
      <c r="F29" s="2" t="s">
        <v>795</v>
      </c>
      <c r="G29" s="171" t="s">
        <v>796</v>
      </c>
      <c r="H29" s="168" t="s">
        <v>797</v>
      </c>
      <c r="I29" s="2" t="s">
        <v>798</v>
      </c>
      <c r="J29" s="2" t="s">
        <v>799</v>
      </c>
      <c r="K29" s="2" t="s">
        <v>800</v>
      </c>
      <c r="L29" s="165" t="s">
        <v>801</v>
      </c>
    </row>
    <row r="30" spans="1:12">
      <c r="A30" s="2" t="s">
        <v>172</v>
      </c>
      <c r="B30" s="2" t="s">
        <v>173</v>
      </c>
      <c r="C30" s="2" t="s">
        <v>968</v>
      </c>
      <c r="D30" s="166" t="s">
        <v>969</v>
      </c>
      <c r="E30" s="167" t="s">
        <v>970</v>
      </c>
      <c r="F30" s="2" t="s">
        <v>971</v>
      </c>
      <c r="G30" s="2" t="s">
        <v>972</v>
      </c>
      <c r="H30" s="168" t="s">
        <v>973</v>
      </c>
      <c r="K30" s="2" t="s">
        <v>974</v>
      </c>
    </row>
    <row r="31" spans="1:12">
      <c r="A31" s="2" t="s">
        <v>176</v>
      </c>
      <c r="B31" s="2" t="s">
        <v>177</v>
      </c>
      <c r="C31" s="2" t="s">
        <v>961</v>
      </c>
      <c r="D31" s="166" t="s">
        <v>962</v>
      </c>
      <c r="E31" s="167" t="s">
        <v>963</v>
      </c>
      <c r="F31" s="2" t="s">
        <v>964</v>
      </c>
      <c r="G31" s="2" t="s">
        <v>965</v>
      </c>
      <c r="H31" s="168" t="s">
        <v>966</v>
      </c>
      <c r="K31" s="2" t="s">
        <v>967</v>
      </c>
    </row>
    <row r="32" spans="1:12">
      <c r="A32" s="2" t="s">
        <v>180</v>
      </c>
      <c r="B32" s="2" t="s">
        <v>198</v>
      </c>
      <c r="C32" s="2" t="s">
        <v>982</v>
      </c>
      <c r="D32" s="172" t="s">
        <v>983</v>
      </c>
      <c r="E32" s="2" t="s">
        <v>984</v>
      </c>
      <c r="F32" s="2" t="s">
        <v>985</v>
      </c>
      <c r="G32" s="2" t="s">
        <v>986</v>
      </c>
      <c r="H32" s="168" t="s">
        <v>987</v>
      </c>
      <c r="I32" s="2" t="s">
        <v>751</v>
      </c>
      <c r="K32" s="2" t="s">
        <v>875</v>
      </c>
      <c r="L32" s="173" t="s">
        <v>988</v>
      </c>
    </row>
    <row r="33" spans="1:12">
      <c r="A33" s="2" t="s">
        <v>184</v>
      </c>
      <c r="B33" s="2" t="s">
        <v>202</v>
      </c>
      <c r="C33" s="2" t="s">
        <v>975</v>
      </c>
      <c r="D33" s="172" t="s">
        <v>976</v>
      </c>
      <c r="E33" s="2" t="s">
        <v>977</v>
      </c>
      <c r="F33" s="2" t="s">
        <v>978</v>
      </c>
      <c r="G33" s="2" t="s">
        <v>979</v>
      </c>
      <c r="H33" s="168" t="s">
        <v>980</v>
      </c>
      <c r="I33" s="187" t="s">
        <v>887</v>
      </c>
      <c r="K33" s="2" t="s">
        <v>865</v>
      </c>
      <c r="L33" s="173" t="s">
        <v>981</v>
      </c>
    </row>
    <row r="34" spans="1:12">
      <c r="A34" s="2" t="s">
        <v>186</v>
      </c>
      <c r="B34" s="2" t="s">
        <v>187</v>
      </c>
      <c r="C34" s="2" t="s">
        <v>840</v>
      </c>
      <c r="D34" s="172" t="s">
        <v>841</v>
      </c>
      <c r="E34" s="2" t="s">
        <v>842</v>
      </c>
      <c r="F34" s="174" t="s">
        <v>843</v>
      </c>
      <c r="G34" s="165" t="s">
        <v>844</v>
      </c>
      <c r="H34" s="168" t="s">
        <v>845</v>
      </c>
      <c r="I34" s="2" t="s">
        <v>846</v>
      </c>
      <c r="K34" s="2" t="s">
        <v>847</v>
      </c>
    </row>
    <row r="35" spans="1:12">
      <c r="A35" s="2" t="s">
        <v>192</v>
      </c>
      <c r="B35" s="2" t="s">
        <v>49</v>
      </c>
      <c r="C35" s="2" t="s">
        <v>907</v>
      </c>
      <c r="D35" s="166" t="s">
        <v>912</v>
      </c>
      <c r="E35" s="174" t="s">
        <v>913</v>
      </c>
      <c r="F35" s="172" t="s">
        <v>908</v>
      </c>
      <c r="G35" s="165" t="s">
        <v>909</v>
      </c>
      <c r="H35" s="168" t="s">
        <v>911</v>
      </c>
    </row>
    <row r="37" spans="1:12">
      <c r="A37" s="2" t="s">
        <v>210</v>
      </c>
      <c r="B37" s="2" t="s">
        <v>222</v>
      </c>
      <c r="C37" s="187" t="s">
        <v>1004</v>
      </c>
      <c r="D37" s="166" t="s">
        <v>937</v>
      </c>
      <c r="E37" s="167" t="s">
        <v>1005</v>
      </c>
      <c r="F37" s="172" t="s">
        <v>897</v>
      </c>
      <c r="G37" s="169" t="s">
        <v>960</v>
      </c>
      <c r="H37" s="168" t="s">
        <v>1006</v>
      </c>
      <c r="K37" s="2" t="s">
        <v>862</v>
      </c>
      <c r="L37" s="2" t="s">
        <v>1007</v>
      </c>
    </row>
    <row r="38" spans="1:12">
      <c r="A38" s="2" t="s">
        <v>211</v>
      </c>
      <c r="B38" s="2" t="s">
        <v>221</v>
      </c>
      <c r="C38" s="187" t="s">
        <v>1000</v>
      </c>
      <c r="D38" s="166" t="s">
        <v>930</v>
      </c>
      <c r="E38" s="167" t="s">
        <v>1001</v>
      </c>
      <c r="F38" s="172" t="s">
        <v>893</v>
      </c>
      <c r="G38" s="169" t="s">
        <v>952</v>
      </c>
      <c r="H38" s="168" t="s">
        <v>1002</v>
      </c>
      <c r="K38" s="2" t="s">
        <v>854</v>
      </c>
      <c r="L38" s="2" t="s">
        <v>1003</v>
      </c>
    </row>
    <row r="39" spans="1:12">
      <c r="A39" s="2" t="s">
        <v>317</v>
      </c>
      <c r="B39" s="2" t="s">
        <v>220</v>
      </c>
      <c r="C39" s="187" t="s">
        <v>993</v>
      </c>
      <c r="D39" s="166" t="s">
        <v>926</v>
      </c>
      <c r="E39" s="170" t="s">
        <v>717</v>
      </c>
      <c r="F39" s="172" t="s">
        <v>994</v>
      </c>
      <c r="G39" s="169" t="s">
        <v>995</v>
      </c>
      <c r="H39" s="168" t="s">
        <v>996</v>
      </c>
      <c r="I39" s="2" t="s">
        <v>997</v>
      </c>
      <c r="K39" s="2" t="s">
        <v>998</v>
      </c>
      <c r="L39" s="2" t="s">
        <v>999</v>
      </c>
    </row>
    <row r="40" spans="1:12">
      <c r="A40" s="2" t="s">
        <v>318</v>
      </c>
      <c r="B40" s="2" t="s">
        <v>219</v>
      </c>
      <c r="C40" s="187" t="s">
        <v>989</v>
      </c>
      <c r="D40" s="166" t="s">
        <v>990</v>
      </c>
      <c r="E40" s="170" t="s">
        <v>724</v>
      </c>
      <c r="F40" s="172" t="s">
        <v>991</v>
      </c>
      <c r="G40" s="169" t="s">
        <v>945</v>
      </c>
      <c r="H40" s="168" t="s">
        <v>992</v>
      </c>
      <c r="I40" s="2" t="s">
        <v>731</v>
      </c>
      <c r="K40" s="2" t="s">
        <v>974</v>
      </c>
      <c r="L40" s="2" t="s">
        <v>888</v>
      </c>
    </row>
    <row r="41" spans="1:12">
      <c r="A41" s="2" t="s">
        <v>573</v>
      </c>
      <c r="B41" s="2" t="s">
        <v>223</v>
      </c>
      <c r="C41" s="187" t="s">
        <v>1008</v>
      </c>
      <c r="D41" s="166" t="s">
        <v>947</v>
      </c>
      <c r="E41" s="167" t="s">
        <v>747</v>
      </c>
      <c r="F41" s="172" t="s">
        <v>904</v>
      </c>
      <c r="G41" s="2" t="s">
        <v>1010</v>
      </c>
      <c r="H41" s="168" t="s">
        <v>1009</v>
      </c>
      <c r="I41" s="2" t="s">
        <v>1011</v>
      </c>
      <c r="K41" s="2" t="s">
        <v>865</v>
      </c>
    </row>
    <row r="42" spans="1:12">
      <c r="A42" s="2" t="s">
        <v>574</v>
      </c>
      <c r="B42" s="2" t="s">
        <v>224</v>
      </c>
      <c r="C42" s="187" t="s">
        <v>1015</v>
      </c>
      <c r="D42" s="166" t="s">
        <v>950</v>
      </c>
      <c r="E42" s="167" t="s">
        <v>756</v>
      </c>
      <c r="F42" s="172" t="s">
        <v>908</v>
      </c>
      <c r="G42" s="2" t="s">
        <v>1014</v>
      </c>
      <c r="H42" s="168" t="s">
        <v>1013</v>
      </c>
      <c r="I42" s="2" t="s">
        <v>1012</v>
      </c>
      <c r="K42" s="2" t="s">
        <v>875</v>
      </c>
    </row>
    <row r="44" spans="1:12">
      <c r="A44" s="2" t="s">
        <v>575</v>
      </c>
      <c r="B44" t="s">
        <v>577</v>
      </c>
      <c r="C44" s="2" t="s">
        <v>1068</v>
      </c>
      <c r="D44" s="166" t="s">
        <v>1069</v>
      </c>
      <c r="E44" s="170" t="s">
        <v>1070</v>
      </c>
      <c r="F44" s="172" t="s">
        <v>1071</v>
      </c>
      <c r="G44" s="165" t="s">
        <v>1072</v>
      </c>
      <c r="H44" s="168" t="s">
        <v>1073</v>
      </c>
      <c r="I44" s="2" t="s">
        <v>1074</v>
      </c>
      <c r="K44" s="2" t="s">
        <v>1075</v>
      </c>
    </row>
    <row r="45" spans="1:12">
      <c r="A45" s="2" t="s">
        <v>576</v>
      </c>
      <c r="B45" s="2" t="s">
        <v>578</v>
      </c>
      <c r="C45" s="2" t="s">
        <v>1076</v>
      </c>
      <c r="D45" s="166" t="s">
        <v>1077</v>
      </c>
      <c r="E45" s="170" t="s">
        <v>1108</v>
      </c>
      <c r="F45" s="172" t="s">
        <v>1078</v>
      </c>
      <c r="G45" s="165" t="s">
        <v>1079</v>
      </c>
      <c r="H45" s="168" t="s">
        <v>1080</v>
      </c>
      <c r="I45" s="2" t="s">
        <v>1081</v>
      </c>
      <c r="K45" s="2" t="s">
        <v>1082</v>
      </c>
    </row>
    <row r="46" spans="1:12">
      <c r="A46" s="2" t="s">
        <v>347</v>
      </c>
      <c r="B46" s="2" t="s">
        <v>579</v>
      </c>
      <c r="C46" s="2" t="s">
        <v>1083</v>
      </c>
      <c r="D46" s="166" t="s">
        <v>667</v>
      </c>
      <c r="E46" s="166" t="s">
        <v>906</v>
      </c>
      <c r="F46" s="172" t="s">
        <v>1084</v>
      </c>
      <c r="G46" s="165" t="s">
        <v>1085</v>
      </c>
      <c r="H46" s="168" t="s">
        <v>1086</v>
      </c>
      <c r="I46" s="2" t="s">
        <v>1087</v>
      </c>
      <c r="K46" s="2" t="s">
        <v>1088</v>
      </c>
    </row>
    <row r="47" spans="1:12">
      <c r="A47" s="2" t="s">
        <v>348</v>
      </c>
      <c r="B47" s="2" t="s">
        <v>580</v>
      </c>
      <c r="C47" s="2" t="s">
        <v>1089</v>
      </c>
      <c r="D47" s="166" t="s">
        <v>672</v>
      </c>
      <c r="E47" s="166" t="s">
        <v>1090</v>
      </c>
      <c r="F47" s="172" t="s">
        <v>1091</v>
      </c>
      <c r="G47" s="165" t="s">
        <v>1092</v>
      </c>
      <c r="H47" s="168" t="s">
        <v>1095</v>
      </c>
      <c r="I47" s="2" t="s">
        <v>1098</v>
      </c>
      <c r="K47" s="2" t="s">
        <v>1099</v>
      </c>
    </row>
    <row r="48" spans="1:12">
      <c r="A48" s="2" t="s">
        <v>349</v>
      </c>
      <c r="B48" s="2" t="s">
        <v>581</v>
      </c>
      <c r="C48" s="2" t="s">
        <v>1100</v>
      </c>
      <c r="D48" s="166" t="s">
        <v>685</v>
      </c>
      <c r="E48" s="166" t="s">
        <v>915</v>
      </c>
      <c r="F48" s="167" t="s">
        <v>718</v>
      </c>
      <c r="G48" s="165" t="s">
        <v>1093</v>
      </c>
      <c r="H48" s="168" t="s">
        <v>1096</v>
      </c>
      <c r="I48" s="2" t="s">
        <v>1102</v>
      </c>
      <c r="K48" s="2" t="s">
        <v>1103</v>
      </c>
    </row>
    <row r="49" spans="1:11">
      <c r="A49" s="2" t="s">
        <v>350</v>
      </c>
      <c r="B49" s="2" t="s">
        <v>582</v>
      </c>
      <c r="C49" s="2" t="s">
        <v>1101</v>
      </c>
      <c r="D49" s="166" t="s">
        <v>1104</v>
      </c>
      <c r="E49" s="166" t="s">
        <v>1105</v>
      </c>
      <c r="F49" s="167" t="s">
        <v>725</v>
      </c>
      <c r="G49" s="165" t="s">
        <v>1094</v>
      </c>
      <c r="H49" s="168" t="s">
        <v>1097</v>
      </c>
      <c r="I49" s="2" t="s">
        <v>1106</v>
      </c>
      <c r="K49" s="2" t="s">
        <v>1107</v>
      </c>
    </row>
  </sheetData>
  <phoneticPr fontId="6" type="noConversion"/>
  <pageMargins left="0.7" right="0.7" top="0.75" bottom="0.75" header="0.3" footer="0.3"/>
  <pageSetup scale="54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E308-4111-46EA-8E1C-A70B7BA29816}">
  <sheetPr>
    <pageSetUpPr fitToPage="1"/>
  </sheetPr>
  <dimension ref="A1:M47"/>
  <sheetViews>
    <sheetView topLeftCell="A5" workbookViewId="0">
      <selection activeCell="B2" sqref="B2"/>
    </sheetView>
  </sheetViews>
  <sheetFormatPr defaultRowHeight="15"/>
  <cols>
    <col min="1" max="1" width="9.140625" style="2" customWidth="1"/>
    <col min="2" max="2" width="14.7109375" style="2" customWidth="1"/>
    <col min="3" max="3" width="7.85546875" style="2" bestFit="1" customWidth="1"/>
    <col min="4" max="4" width="14.5703125" style="2" customWidth="1"/>
    <col min="5" max="5" width="12.7109375" style="2" bestFit="1" customWidth="1"/>
    <col min="6" max="6" width="31.85546875" style="2" bestFit="1" customWidth="1"/>
    <col min="7" max="7" width="16" style="2" bestFit="1" customWidth="1"/>
    <col min="8" max="8" width="9.5703125" style="2" bestFit="1" customWidth="1"/>
    <col min="9" max="9" width="13.42578125" style="2" bestFit="1" customWidth="1"/>
    <col min="10" max="10" width="8" style="2" bestFit="1" customWidth="1"/>
    <col min="11" max="11" width="12" style="2" bestFit="1" customWidth="1"/>
    <col min="12" max="12" width="11.7109375" style="2" bestFit="1" customWidth="1"/>
    <col min="13" max="13" width="18.85546875" style="2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605</v>
      </c>
    </row>
    <row r="2" spans="1:13">
      <c r="A2" s="2" t="s">
        <v>22</v>
      </c>
      <c r="B2" s="2" t="s">
        <v>23</v>
      </c>
      <c r="C2" s="2" t="s">
        <v>551</v>
      </c>
      <c r="D2" s="2" t="s">
        <v>239</v>
      </c>
      <c r="E2" s="2" t="s">
        <v>0</v>
      </c>
      <c r="F2" s="2" t="s">
        <v>262</v>
      </c>
      <c r="G2" s="2" t="s">
        <v>25</v>
      </c>
      <c r="H2" s="2" t="s">
        <v>26</v>
      </c>
      <c r="I2" s="2" t="s">
        <v>0</v>
      </c>
      <c r="J2" s="2" t="s">
        <v>27</v>
      </c>
      <c r="K2" s="2" t="s">
        <v>0</v>
      </c>
      <c r="L2" s="2" t="s">
        <v>0</v>
      </c>
    </row>
    <row r="3" spans="1:13">
      <c r="A3" s="2" t="s">
        <v>16</v>
      </c>
      <c r="B3" s="2" t="s">
        <v>17</v>
      </c>
      <c r="C3" s="2" t="s">
        <v>552</v>
      </c>
      <c r="D3" s="2" t="s">
        <v>238</v>
      </c>
      <c r="E3" s="2" t="s">
        <v>0</v>
      </c>
      <c r="F3" s="2" t="s">
        <v>261</v>
      </c>
      <c r="G3" s="2" t="s">
        <v>19</v>
      </c>
      <c r="H3" s="2" t="s">
        <v>20</v>
      </c>
      <c r="I3" s="2" t="s">
        <v>0</v>
      </c>
      <c r="J3" s="2" t="s">
        <v>21</v>
      </c>
      <c r="K3" s="2" t="s">
        <v>0</v>
      </c>
      <c r="L3" s="2" t="s">
        <v>0</v>
      </c>
    </row>
    <row r="4" spans="1:13">
      <c r="A4" s="2" t="s">
        <v>151</v>
      </c>
      <c r="B4" s="2" t="s">
        <v>152</v>
      </c>
      <c r="C4" s="2" t="s">
        <v>153</v>
      </c>
      <c r="D4" s="2" t="s">
        <v>251</v>
      </c>
      <c r="E4" s="2" t="s">
        <v>1223</v>
      </c>
      <c r="F4" s="2" t="s">
        <v>0</v>
      </c>
      <c r="G4" s="2" t="s">
        <v>154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155</v>
      </c>
    </row>
    <row r="5" spans="1:13">
      <c r="A5" s="2" t="s">
        <v>156</v>
      </c>
      <c r="B5" s="2" t="s">
        <v>157</v>
      </c>
      <c r="C5" s="2" t="s">
        <v>158</v>
      </c>
      <c r="D5" s="2" t="s">
        <v>252</v>
      </c>
      <c r="E5" s="2" t="s">
        <v>1224</v>
      </c>
      <c r="F5" s="2" t="s">
        <v>0</v>
      </c>
      <c r="G5" s="2" t="s">
        <v>159</v>
      </c>
      <c r="H5" s="2" t="s">
        <v>160</v>
      </c>
      <c r="I5" s="2" t="s">
        <v>0</v>
      </c>
      <c r="J5" s="2" t="s">
        <v>0</v>
      </c>
      <c r="K5" s="2" t="s">
        <v>0</v>
      </c>
      <c r="L5" s="2" t="s">
        <v>161</v>
      </c>
    </row>
    <row r="6" spans="1:13">
      <c r="A6" s="2" t="s">
        <v>124</v>
      </c>
      <c r="B6" s="2" t="s">
        <v>125</v>
      </c>
      <c r="C6" s="2" t="s">
        <v>126</v>
      </c>
      <c r="D6" s="2" t="s">
        <v>244</v>
      </c>
      <c r="E6" s="2" t="s">
        <v>280</v>
      </c>
      <c r="F6" s="2" t="s">
        <v>0</v>
      </c>
      <c r="G6" s="2" t="s">
        <v>127</v>
      </c>
      <c r="H6" s="2" t="s">
        <v>0</v>
      </c>
      <c r="I6" s="2" t="s">
        <v>0</v>
      </c>
      <c r="J6" s="2" t="s">
        <v>0</v>
      </c>
      <c r="K6" s="2" t="s">
        <v>128</v>
      </c>
      <c r="L6" s="2" t="s">
        <v>274</v>
      </c>
    </row>
    <row r="7" spans="1:13">
      <c r="A7" s="2" t="s">
        <v>119</v>
      </c>
      <c r="B7" s="2" t="s">
        <v>120</v>
      </c>
      <c r="C7" s="2" t="s">
        <v>121</v>
      </c>
      <c r="D7" s="2" t="s">
        <v>286</v>
      </c>
      <c r="E7" s="2" t="s">
        <v>279</v>
      </c>
      <c r="F7" s="2" t="s">
        <v>0</v>
      </c>
      <c r="G7" s="2" t="s">
        <v>122</v>
      </c>
      <c r="H7" s="2" t="s">
        <v>0</v>
      </c>
      <c r="I7" s="2" t="s">
        <v>0</v>
      </c>
      <c r="J7" s="2" t="s">
        <v>0</v>
      </c>
      <c r="K7" s="2" t="s">
        <v>123</v>
      </c>
      <c r="L7" s="2" t="s">
        <v>273</v>
      </c>
    </row>
    <row r="8" spans="1:13">
      <c r="A8" s="2" t="s">
        <v>97</v>
      </c>
      <c r="B8" s="2" t="s">
        <v>98</v>
      </c>
      <c r="C8" s="2" t="s">
        <v>99</v>
      </c>
      <c r="D8" s="2" t="s">
        <v>242</v>
      </c>
      <c r="E8" s="2" t="s">
        <v>0</v>
      </c>
      <c r="F8" s="2" t="s">
        <v>0</v>
      </c>
      <c r="G8" s="2" t="s">
        <v>100</v>
      </c>
      <c r="H8" s="2" t="s">
        <v>0</v>
      </c>
      <c r="I8" s="2" t="s">
        <v>101</v>
      </c>
      <c r="J8" s="2" t="s">
        <v>0</v>
      </c>
      <c r="K8" s="2" t="s">
        <v>102</v>
      </c>
      <c r="L8" s="2" t="s">
        <v>269</v>
      </c>
    </row>
    <row r="9" spans="1:13">
      <c r="A9" s="2" t="s">
        <v>103</v>
      </c>
      <c r="B9" s="2" t="s">
        <v>104</v>
      </c>
      <c r="C9" s="2" t="s">
        <v>105</v>
      </c>
      <c r="D9" s="2" t="s">
        <v>243</v>
      </c>
      <c r="E9" s="2" t="s">
        <v>0</v>
      </c>
      <c r="F9" s="2" t="s">
        <v>0</v>
      </c>
      <c r="G9" s="2" t="s">
        <v>106</v>
      </c>
      <c r="H9" s="2" t="s">
        <v>0</v>
      </c>
      <c r="I9" s="2" t="s">
        <v>107</v>
      </c>
      <c r="J9" s="2" t="s">
        <v>0</v>
      </c>
      <c r="K9" s="2" t="s">
        <v>108</v>
      </c>
      <c r="L9" s="2" t="s">
        <v>270</v>
      </c>
    </row>
    <row r="10" spans="1:13">
      <c r="A10" s="2" t="s">
        <v>114</v>
      </c>
      <c r="B10" s="2" t="s">
        <v>115</v>
      </c>
      <c r="C10" s="2" t="s">
        <v>116</v>
      </c>
      <c r="D10" s="2" t="s">
        <v>1220</v>
      </c>
      <c r="E10" s="2" t="s">
        <v>1222</v>
      </c>
      <c r="F10" s="2" t="s">
        <v>0</v>
      </c>
      <c r="G10" s="2" t="s">
        <v>0</v>
      </c>
      <c r="H10" s="2" t="s">
        <v>0</v>
      </c>
      <c r="I10" s="2" t="s">
        <v>117</v>
      </c>
      <c r="J10" s="2" t="s">
        <v>0</v>
      </c>
      <c r="K10" s="2" t="s">
        <v>118</v>
      </c>
      <c r="L10" s="2" t="s">
        <v>272</v>
      </c>
      <c r="M10" s="30" t="s">
        <v>363</v>
      </c>
    </row>
    <row r="11" spans="1:13">
      <c r="A11" s="2" t="s">
        <v>109</v>
      </c>
      <c r="B11" s="2" t="s">
        <v>110</v>
      </c>
      <c r="C11" s="2" t="s">
        <v>111</v>
      </c>
      <c r="D11" s="2" t="s">
        <v>1219</v>
      </c>
      <c r="E11" s="2" t="s">
        <v>1221</v>
      </c>
      <c r="F11" s="2" t="s">
        <v>0</v>
      </c>
      <c r="G11" s="2" t="s">
        <v>0</v>
      </c>
      <c r="H11" s="2" t="s">
        <v>0</v>
      </c>
      <c r="I11" s="2" t="s">
        <v>112</v>
      </c>
      <c r="J11" s="2" t="s">
        <v>0</v>
      </c>
      <c r="K11" s="2" t="s">
        <v>113</v>
      </c>
      <c r="L11" s="2" t="s">
        <v>271</v>
      </c>
      <c r="M11" s="30" t="s">
        <v>364</v>
      </c>
    </row>
    <row r="12" spans="1:13">
      <c r="A12" s="2" t="s">
        <v>139</v>
      </c>
      <c r="B12" s="2" t="s">
        <v>140</v>
      </c>
      <c r="C12" s="2" t="s">
        <v>141</v>
      </c>
      <c r="D12" s="2" t="s">
        <v>0</v>
      </c>
      <c r="E12" s="2" t="s">
        <v>0</v>
      </c>
      <c r="F12" s="2" t="s">
        <v>0</v>
      </c>
      <c r="G12" s="2" t="s">
        <v>142</v>
      </c>
      <c r="H12" s="2" t="s">
        <v>83</v>
      </c>
      <c r="I12" s="2" t="s">
        <v>0</v>
      </c>
      <c r="J12" s="2" t="s">
        <v>0</v>
      </c>
      <c r="K12" s="2" t="s">
        <v>143</v>
      </c>
      <c r="L12" s="2" t="s">
        <v>277</v>
      </c>
      <c r="M12" s="30" t="s">
        <v>365</v>
      </c>
    </row>
    <row r="13" spans="1:13">
      <c r="A13" s="2" t="s">
        <v>144</v>
      </c>
      <c r="B13" s="2" t="s">
        <v>145</v>
      </c>
      <c r="C13" s="2" t="s">
        <v>146</v>
      </c>
      <c r="D13" s="2" t="s">
        <v>0</v>
      </c>
      <c r="E13" s="2" t="s">
        <v>0</v>
      </c>
      <c r="F13" s="2" t="s">
        <v>0</v>
      </c>
      <c r="G13" s="2" t="s">
        <v>147</v>
      </c>
      <c r="H13" s="2" t="s">
        <v>95</v>
      </c>
      <c r="I13" s="2" t="s">
        <v>148</v>
      </c>
      <c r="J13" s="2" t="s">
        <v>0</v>
      </c>
      <c r="K13" s="2" t="s">
        <v>149</v>
      </c>
      <c r="L13" s="2" t="s">
        <v>278</v>
      </c>
      <c r="M13" s="30" t="s">
        <v>366</v>
      </c>
    </row>
    <row r="14" spans="1:13">
      <c r="A14" s="2" t="s">
        <v>129</v>
      </c>
      <c r="B14" s="2" t="s">
        <v>130</v>
      </c>
      <c r="C14" s="2" t="s">
        <v>131</v>
      </c>
      <c r="D14" s="2" t="s">
        <v>247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132</v>
      </c>
      <c r="J14" s="2" t="s">
        <v>0</v>
      </c>
      <c r="K14" s="2" t="s">
        <v>133</v>
      </c>
      <c r="L14" s="2" t="s">
        <v>275</v>
      </c>
    </row>
    <row r="15" spans="1:13">
      <c r="A15" s="2" t="s">
        <v>134</v>
      </c>
      <c r="B15" s="2" t="s">
        <v>135</v>
      </c>
      <c r="C15" s="2" t="s">
        <v>136</v>
      </c>
      <c r="D15" s="2" t="s">
        <v>248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137</v>
      </c>
      <c r="J15" s="2" t="s">
        <v>0</v>
      </c>
      <c r="K15" s="2" t="s">
        <v>138</v>
      </c>
      <c r="L15" s="2" t="s">
        <v>276</v>
      </c>
    </row>
    <row r="16" spans="1:13">
      <c r="A16" s="2" t="s">
        <v>162</v>
      </c>
      <c r="B16" s="2" t="s">
        <v>163</v>
      </c>
      <c r="C16" s="2" t="s">
        <v>164</v>
      </c>
      <c r="D16" s="2" t="s">
        <v>0</v>
      </c>
      <c r="E16" s="2" t="s">
        <v>0</v>
      </c>
      <c r="F16" s="2" t="s">
        <v>259</v>
      </c>
      <c r="G16" s="2" t="s">
        <v>0</v>
      </c>
      <c r="H16" s="2" t="s">
        <v>0</v>
      </c>
      <c r="I16" s="2" t="s">
        <v>165</v>
      </c>
      <c r="J16" s="2" t="s">
        <v>0</v>
      </c>
      <c r="K16" s="2" t="s">
        <v>208</v>
      </c>
      <c r="L16" s="2" t="s">
        <v>166</v>
      </c>
    </row>
    <row r="17" spans="1:13">
      <c r="A17" s="2" t="s">
        <v>167</v>
      </c>
      <c r="B17" s="2" t="s">
        <v>168</v>
      </c>
      <c r="C17" s="2" t="s">
        <v>169</v>
      </c>
      <c r="D17" s="2" t="s">
        <v>0</v>
      </c>
      <c r="E17" s="2" t="s">
        <v>0</v>
      </c>
      <c r="F17" s="2" t="s">
        <v>260</v>
      </c>
      <c r="G17" s="2" t="s">
        <v>0</v>
      </c>
      <c r="H17" s="2" t="s">
        <v>0</v>
      </c>
      <c r="I17" s="2" t="s">
        <v>170</v>
      </c>
      <c r="J17" s="2" t="s">
        <v>0</v>
      </c>
      <c r="K17" s="2" t="s">
        <v>209</v>
      </c>
      <c r="L17" s="2" t="s">
        <v>171</v>
      </c>
    </row>
    <row r="18" spans="1:13">
      <c r="A18" s="2" t="s">
        <v>73</v>
      </c>
      <c r="B18" s="2" t="s">
        <v>74</v>
      </c>
      <c r="C18" s="2" t="s">
        <v>553</v>
      </c>
      <c r="D18" s="2" t="s">
        <v>0</v>
      </c>
      <c r="E18" s="2" t="s">
        <v>0</v>
      </c>
      <c r="F18" s="2" t="s">
        <v>255</v>
      </c>
      <c r="G18" s="2" t="s">
        <v>76</v>
      </c>
      <c r="H18" s="2" t="s">
        <v>0</v>
      </c>
      <c r="I18" s="2" t="s">
        <v>77</v>
      </c>
      <c r="J18" s="2" t="s">
        <v>0</v>
      </c>
      <c r="K18" s="2" t="s">
        <v>78</v>
      </c>
      <c r="L18" s="2" t="s">
        <v>0</v>
      </c>
      <c r="M18" s="2" t="s">
        <v>606</v>
      </c>
    </row>
    <row r="19" spans="1:13">
      <c r="A19" s="2" t="s">
        <v>85</v>
      </c>
      <c r="B19" s="2" t="s">
        <v>86</v>
      </c>
      <c r="C19" s="2" t="s">
        <v>554</v>
      </c>
      <c r="D19" s="2" t="s">
        <v>0</v>
      </c>
      <c r="E19" s="2" t="s">
        <v>0</v>
      </c>
      <c r="F19" s="2" t="s">
        <v>257</v>
      </c>
      <c r="G19" s="2" t="s">
        <v>88</v>
      </c>
      <c r="H19" s="2" t="s">
        <v>0</v>
      </c>
      <c r="I19" s="2" t="s">
        <v>89</v>
      </c>
      <c r="J19" s="2" t="s">
        <v>0</v>
      </c>
      <c r="K19" s="2" t="s">
        <v>90</v>
      </c>
      <c r="L19" s="2" t="s">
        <v>0</v>
      </c>
      <c r="M19" s="2" t="s">
        <v>607</v>
      </c>
    </row>
    <row r="20" spans="1:13">
      <c r="A20" s="2" t="s">
        <v>79</v>
      </c>
      <c r="B20" s="2" t="s">
        <v>80</v>
      </c>
      <c r="C20" s="2" t="s">
        <v>555</v>
      </c>
      <c r="D20" s="2" t="s">
        <v>0</v>
      </c>
      <c r="E20" s="2" t="s">
        <v>0</v>
      </c>
      <c r="F20" s="2" t="s">
        <v>256</v>
      </c>
      <c r="G20" s="2" t="s">
        <v>82</v>
      </c>
      <c r="H20" s="2" t="s">
        <v>83</v>
      </c>
      <c r="I20" s="2" t="s">
        <v>0</v>
      </c>
      <c r="J20" s="2" t="s">
        <v>0</v>
      </c>
      <c r="K20" s="2" t="s">
        <v>84</v>
      </c>
      <c r="L20" s="2" t="s">
        <v>0</v>
      </c>
      <c r="M20" s="2" t="s">
        <v>608</v>
      </c>
    </row>
    <row r="21" spans="1:13">
      <c r="A21" s="2" t="s">
        <v>91</v>
      </c>
      <c r="B21" s="2" t="s">
        <v>92</v>
      </c>
      <c r="C21" s="2" t="s">
        <v>556</v>
      </c>
      <c r="D21" s="2" t="s">
        <v>0</v>
      </c>
      <c r="E21" s="2" t="s">
        <v>0</v>
      </c>
      <c r="F21" s="2" t="s">
        <v>258</v>
      </c>
      <c r="G21" s="2" t="s">
        <v>94</v>
      </c>
      <c r="H21" s="2" t="s">
        <v>95</v>
      </c>
      <c r="I21" s="2" t="s">
        <v>0</v>
      </c>
      <c r="J21" s="2" t="s">
        <v>0</v>
      </c>
      <c r="K21" s="2" t="s">
        <v>96</v>
      </c>
      <c r="L21" s="2" t="s">
        <v>0</v>
      </c>
      <c r="M21" s="2" t="s">
        <v>609</v>
      </c>
    </row>
    <row r="22" spans="1:13">
      <c r="A22" s="2" t="s">
        <v>575</v>
      </c>
      <c r="B22" t="s">
        <v>577</v>
      </c>
      <c r="C22" s="2" t="s">
        <v>599</v>
      </c>
      <c r="E22" s="2" t="s">
        <v>1215</v>
      </c>
      <c r="G22" s="2" t="s">
        <v>590</v>
      </c>
      <c r="K22" s="2" t="s">
        <v>591</v>
      </c>
      <c r="M22" s="2" t="s">
        <v>610</v>
      </c>
    </row>
    <row r="23" spans="1:13">
      <c r="A23" s="2" t="s">
        <v>576</v>
      </c>
      <c r="B23" s="2" t="s">
        <v>578</v>
      </c>
      <c r="C23" s="2" t="s">
        <v>600</v>
      </c>
      <c r="E23" s="2" t="s">
        <v>1216</v>
      </c>
      <c r="G23" s="2" t="s">
        <v>592</v>
      </c>
      <c r="K23" s="2" t="s">
        <v>593</v>
      </c>
      <c r="M23" s="2" t="s">
        <v>611</v>
      </c>
    </row>
    <row r="24" spans="1:13">
      <c r="A24" s="2" t="s">
        <v>347</v>
      </c>
      <c r="B24" s="2" t="s">
        <v>579</v>
      </c>
      <c r="C24" s="2" t="s">
        <v>601</v>
      </c>
      <c r="G24" s="2" t="s">
        <v>127</v>
      </c>
      <c r="K24" s="2" t="s">
        <v>596</v>
      </c>
      <c r="M24" s="2" t="s">
        <v>612</v>
      </c>
    </row>
    <row r="25" spans="1:13">
      <c r="A25" s="2" t="s">
        <v>348</v>
      </c>
      <c r="B25" s="2" t="s">
        <v>580</v>
      </c>
      <c r="C25" s="2" t="s">
        <v>602</v>
      </c>
      <c r="G25" s="2" t="s">
        <v>122</v>
      </c>
      <c r="K25" s="2" t="s">
        <v>594</v>
      </c>
      <c r="M25" s="2" t="s">
        <v>613</v>
      </c>
    </row>
    <row r="26" spans="1:13">
      <c r="A26" s="2" t="s">
        <v>349</v>
      </c>
      <c r="B26" s="2" t="s">
        <v>581</v>
      </c>
      <c r="C26" s="2" t="s">
        <v>603</v>
      </c>
      <c r="G26" s="2" t="s">
        <v>100</v>
      </c>
      <c r="K26" s="2" t="s">
        <v>597</v>
      </c>
      <c r="M26" s="2" t="s">
        <v>614</v>
      </c>
    </row>
    <row r="27" spans="1:13">
      <c r="A27" s="2" t="s">
        <v>350</v>
      </c>
      <c r="B27" s="2" t="s">
        <v>582</v>
      </c>
      <c r="C27" s="2" t="s">
        <v>604</v>
      </c>
      <c r="G27" s="2" t="s">
        <v>598</v>
      </c>
      <c r="K27" s="2" t="s">
        <v>595</v>
      </c>
      <c r="M27" s="2" t="s">
        <v>615</v>
      </c>
    </row>
    <row r="28" spans="1:13">
      <c r="A28" s="2">
        <v>6</v>
      </c>
      <c r="B28" s="2" t="s">
        <v>64</v>
      </c>
      <c r="C28" s="2" t="s">
        <v>65</v>
      </c>
      <c r="D28" s="2" t="s">
        <v>0</v>
      </c>
      <c r="E28" s="2" t="s">
        <v>0</v>
      </c>
      <c r="F28" s="2" t="s">
        <v>0</v>
      </c>
      <c r="G28" s="2" t="s">
        <v>344</v>
      </c>
      <c r="I28" s="2" t="s">
        <v>66</v>
      </c>
      <c r="K28" s="2" t="s">
        <v>67</v>
      </c>
      <c r="M28" s="2" t="s">
        <v>616</v>
      </c>
    </row>
    <row r="29" spans="1:13">
      <c r="A29" s="2" t="s">
        <v>68</v>
      </c>
      <c r="B29" s="2" t="s">
        <v>69</v>
      </c>
      <c r="C29" s="2" t="s">
        <v>70</v>
      </c>
      <c r="D29" s="2" t="s">
        <v>0</v>
      </c>
      <c r="E29" s="2" t="s">
        <v>0</v>
      </c>
      <c r="F29" s="2" t="s">
        <v>0</v>
      </c>
      <c r="G29" s="2" t="s">
        <v>503</v>
      </c>
      <c r="I29" s="2" t="s">
        <v>71</v>
      </c>
      <c r="K29" s="2" t="s">
        <v>72</v>
      </c>
      <c r="M29" s="2" t="s">
        <v>617</v>
      </c>
    </row>
    <row r="30" spans="1:13">
      <c r="A30" s="2" t="s">
        <v>186</v>
      </c>
      <c r="B30" s="2" t="s">
        <v>187</v>
      </c>
      <c r="C30" s="2" t="s">
        <v>188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189</v>
      </c>
      <c r="J30" s="2" t="s">
        <v>190</v>
      </c>
      <c r="K30" s="2" t="s">
        <v>191</v>
      </c>
      <c r="L30" s="2" t="s">
        <v>0</v>
      </c>
      <c r="M30" s="2" t="s">
        <v>618</v>
      </c>
    </row>
    <row r="31" spans="1:13">
      <c r="A31" s="2">
        <v>8</v>
      </c>
      <c r="B31" s="2" t="s">
        <v>59</v>
      </c>
      <c r="C31" s="2" t="s">
        <v>60</v>
      </c>
      <c r="D31" s="2" t="s">
        <v>1218</v>
      </c>
      <c r="E31" s="2" t="s">
        <v>0</v>
      </c>
      <c r="F31" s="2" t="s">
        <v>0</v>
      </c>
      <c r="G31" s="2" t="s">
        <v>61</v>
      </c>
      <c r="H31" s="2" t="s">
        <v>0</v>
      </c>
      <c r="I31" s="2" t="s">
        <v>62</v>
      </c>
      <c r="J31" s="2" t="s">
        <v>63</v>
      </c>
      <c r="K31" s="2" t="s">
        <v>232</v>
      </c>
    </row>
    <row r="32" spans="1:13">
      <c r="A32" s="2">
        <v>7</v>
      </c>
      <c r="B32" s="2" t="s">
        <v>54</v>
      </c>
      <c r="C32" s="2" t="s">
        <v>55</v>
      </c>
      <c r="D32" s="2" t="s">
        <v>1217</v>
      </c>
      <c r="E32" s="2" t="s">
        <v>0</v>
      </c>
      <c r="F32" s="2" t="s">
        <v>0</v>
      </c>
      <c r="G32" s="2" t="s">
        <v>56</v>
      </c>
      <c r="H32" s="2" t="s">
        <v>0</v>
      </c>
      <c r="I32" s="2" t="s">
        <v>57</v>
      </c>
      <c r="J32" s="2" t="s">
        <v>58</v>
      </c>
      <c r="K32" s="2" t="s">
        <v>233</v>
      </c>
    </row>
    <row r="33" spans="1:13">
      <c r="A33" s="5" t="s">
        <v>318</v>
      </c>
      <c r="B33" s="5" t="s">
        <v>219</v>
      </c>
      <c r="C33" s="5" t="s">
        <v>225</v>
      </c>
      <c r="D33" s="5"/>
      <c r="E33" s="5" t="s">
        <v>1221</v>
      </c>
      <c r="F33" s="5" t="s">
        <v>266</v>
      </c>
      <c r="G33" s="5" t="s">
        <v>185</v>
      </c>
      <c r="H33" s="5"/>
      <c r="I33" s="5"/>
      <c r="J33" s="5" t="s">
        <v>231</v>
      </c>
      <c r="K33" s="5"/>
      <c r="L33" s="5"/>
      <c r="M33" s="5" t="s">
        <v>216</v>
      </c>
    </row>
    <row r="34" spans="1:13">
      <c r="A34" s="5" t="s">
        <v>317</v>
      </c>
      <c r="B34" s="5" t="s">
        <v>220</v>
      </c>
      <c r="C34" s="5" t="s">
        <v>226</v>
      </c>
      <c r="D34" s="5"/>
      <c r="E34" s="5" t="s">
        <v>1222</v>
      </c>
      <c r="F34" s="5" t="s">
        <v>265</v>
      </c>
      <c r="G34" s="5" t="s">
        <v>183</v>
      </c>
      <c r="H34" s="5"/>
      <c r="I34" s="5"/>
      <c r="J34" s="5" t="s">
        <v>230</v>
      </c>
      <c r="K34" s="5"/>
      <c r="L34" s="5"/>
      <c r="M34" s="5" t="s">
        <v>215</v>
      </c>
    </row>
    <row r="35" spans="1:13">
      <c r="A35" s="5" t="s">
        <v>211</v>
      </c>
      <c r="B35" s="5" t="s">
        <v>221</v>
      </c>
      <c r="C35" s="5" t="s">
        <v>227</v>
      </c>
      <c r="D35" s="5" t="s">
        <v>250</v>
      </c>
      <c r="E35" s="5"/>
      <c r="F35" s="5" t="s">
        <v>264</v>
      </c>
      <c r="G35" s="5" t="s">
        <v>234</v>
      </c>
      <c r="H35" s="5"/>
      <c r="I35" s="5"/>
      <c r="J35" s="5" t="s">
        <v>33</v>
      </c>
      <c r="K35" s="5"/>
      <c r="L35" s="5"/>
      <c r="M35" s="5" t="s">
        <v>214</v>
      </c>
    </row>
    <row r="36" spans="1:13">
      <c r="A36" s="5" t="s">
        <v>210</v>
      </c>
      <c r="B36" s="5" t="s">
        <v>222</v>
      </c>
      <c r="C36" s="5" t="s">
        <v>570</v>
      </c>
      <c r="D36" s="5" t="s">
        <v>249</v>
      </c>
      <c r="E36" s="5"/>
      <c r="F36" s="5" t="s">
        <v>263</v>
      </c>
      <c r="G36" s="5" t="s">
        <v>235</v>
      </c>
      <c r="H36" s="5"/>
      <c r="I36" s="5"/>
      <c r="J36" s="5" t="s">
        <v>40</v>
      </c>
      <c r="K36" s="5"/>
      <c r="L36" s="5"/>
      <c r="M36" s="5" t="s">
        <v>213</v>
      </c>
    </row>
    <row r="37" spans="1:13">
      <c r="A37" s="5" t="s">
        <v>573</v>
      </c>
      <c r="B37" s="5" t="s">
        <v>223</v>
      </c>
      <c r="C37" s="5" t="s">
        <v>228</v>
      </c>
      <c r="D37" s="5" t="s">
        <v>247</v>
      </c>
      <c r="E37" s="5"/>
      <c r="F37" s="5" t="s">
        <v>375</v>
      </c>
      <c r="G37" s="5" t="s">
        <v>236</v>
      </c>
      <c r="H37" s="5"/>
      <c r="I37" s="5"/>
      <c r="J37" s="5" t="s">
        <v>47</v>
      </c>
      <c r="K37" s="5"/>
      <c r="L37" s="5"/>
      <c r="M37" s="5" t="s">
        <v>218</v>
      </c>
    </row>
    <row r="38" spans="1:13" s="159" customFormat="1">
      <c r="A38" s="5" t="s">
        <v>574</v>
      </c>
      <c r="B38" s="5" t="s">
        <v>224</v>
      </c>
      <c r="C38" s="5" t="s">
        <v>229</v>
      </c>
      <c r="D38" s="5" t="s">
        <v>248</v>
      </c>
      <c r="E38" s="5"/>
      <c r="F38" s="5" t="s">
        <v>374</v>
      </c>
      <c r="G38" s="5" t="s">
        <v>237</v>
      </c>
      <c r="H38" s="5"/>
      <c r="I38" s="5"/>
      <c r="J38" s="5" t="s">
        <v>52</v>
      </c>
      <c r="K38" s="5"/>
      <c r="L38" s="5"/>
      <c r="M38" s="5" t="s">
        <v>217</v>
      </c>
    </row>
    <row r="39" spans="1:13" s="159" customFormat="1">
      <c r="A39" s="2" t="s">
        <v>172</v>
      </c>
      <c r="B39" s="2" t="s">
        <v>173</v>
      </c>
      <c r="C39" s="2" t="s">
        <v>174</v>
      </c>
      <c r="D39" s="2" t="s">
        <v>253</v>
      </c>
      <c r="E39" s="2" t="s">
        <v>0</v>
      </c>
      <c r="F39" s="2" t="s">
        <v>0</v>
      </c>
      <c r="G39" s="2" t="s">
        <v>175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/>
    </row>
    <row r="40" spans="1:13" s="159" customFormat="1">
      <c r="A40" s="2" t="s">
        <v>184</v>
      </c>
      <c r="B40" s="2" t="s">
        <v>202</v>
      </c>
      <c r="C40" s="2">
        <v>3.22</v>
      </c>
      <c r="D40" s="2"/>
      <c r="E40" s="2" t="s">
        <v>0</v>
      </c>
      <c r="F40" s="2" t="s">
        <v>0</v>
      </c>
      <c r="G40" s="2" t="s">
        <v>203</v>
      </c>
      <c r="H40" s="2" t="s">
        <v>204</v>
      </c>
      <c r="I40" s="2" t="s">
        <v>205</v>
      </c>
      <c r="J40" s="2" t="s">
        <v>206</v>
      </c>
      <c r="K40" s="2" t="s">
        <v>0</v>
      </c>
      <c r="L40" s="2" t="s">
        <v>0</v>
      </c>
      <c r="M40" s="2"/>
    </row>
    <row r="41" spans="1:13" s="159" customFormat="1">
      <c r="A41" s="2" t="s">
        <v>180</v>
      </c>
      <c r="B41" s="2" t="s">
        <v>198</v>
      </c>
      <c r="C41" s="2">
        <v>3.23</v>
      </c>
      <c r="D41" s="2"/>
      <c r="E41" s="2" t="s">
        <v>0</v>
      </c>
      <c r="F41" s="2" t="s">
        <v>0</v>
      </c>
      <c r="G41" s="2" t="s">
        <v>199</v>
      </c>
      <c r="H41" s="2" t="s">
        <v>200</v>
      </c>
      <c r="I41" s="2" t="s">
        <v>201</v>
      </c>
      <c r="J41" s="2" t="s">
        <v>207</v>
      </c>
      <c r="K41" s="2" t="s">
        <v>0</v>
      </c>
      <c r="L41" s="2" t="s">
        <v>0</v>
      </c>
      <c r="M41" s="2"/>
    </row>
    <row r="42" spans="1:13" s="159" customFormat="1">
      <c r="A42" s="2" t="s">
        <v>28</v>
      </c>
      <c r="B42" s="2" t="s">
        <v>29</v>
      </c>
      <c r="C42" s="2" t="s">
        <v>557</v>
      </c>
      <c r="D42" s="2" t="s">
        <v>0</v>
      </c>
      <c r="E42" s="2" t="s">
        <v>0</v>
      </c>
      <c r="F42" s="2" t="s">
        <v>0</v>
      </c>
      <c r="G42" s="2" t="s">
        <v>31</v>
      </c>
      <c r="H42" s="2" t="s">
        <v>0</v>
      </c>
      <c r="I42" s="2" t="s">
        <v>32</v>
      </c>
      <c r="J42" s="2" t="s">
        <v>33</v>
      </c>
      <c r="K42" s="2" t="s">
        <v>34</v>
      </c>
      <c r="L42" s="2" t="s">
        <v>0</v>
      </c>
      <c r="M42" s="2"/>
    </row>
    <row r="43" spans="1:13" s="159" customFormat="1">
      <c r="A43" s="2" t="s">
        <v>35</v>
      </c>
      <c r="B43" s="2" t="s">
        <v>36</v>
      </c>
      <c r="C43" s="2" t="s">
        <v>558</v>
      </c>
      <c r="D43" s="2" t="s">
        <v>0</v>
      </c>
      <c r="E43" s="2" t="s">
        <v>0</v>
      </c>
      <c r="F43" s="2" t="s">
        <v>0</v>
      </c>
      <c r="G43" s="2" t="s">
        <v>38</v>
      </c>
      <c r="H43" s="2" t="s">
        <v>0</v>
      </c>
      <c r="I43" s="2" t="s">
        <v>39</v>
      </c>
      <c r="J43" s="2" t="s">
        <v>40</v>
      </c>
      <c r="K43" s="2" t="s">
        <v>41</v>
      </c>
      <c r="L43" s="2" t="s">
        <v>0</v>
      </c>
      <c r="M43" s="2"/>
    </row>
    <row r="44" spans="1:13">
      <c r="A44" s="2" t="s">
        <v>42</v>
      </c>
      <c r="B44" s="2" t="s">
        <v>43</v>
      </c>
      <c r="C44" s="2" t="s">
        <v>559</v>
      </c>
      <c r="D44" s="2" t="s">
        <v>0</v>
      </c>
      <c r="E44" s="2" t="s">
        <v>0</v>
      </c>
      <c r="F44" s="2" t="s">
        <v>0</v>
      </c>
      <c r="G44" s="2" t="s">
        <v>45</v>
      </c>
      <c r="H44" s="2" t="s">
        <v>0</v>
      </c>
      <c r="I44" s="2" t="s">
        <v>46</v>
      </c>
      <c r="J44" s="2" t="s">
        <v>47</v>
      </c>
      <c r="K44" s="2" t="s">
        <v>48</v>
      </c>
      <c r="L44" s="2" t="s">
        <v>0</v>
      </c>
    </row>
    <row r="45" spans="1:13">
      <c r="A45" s="2" t="s">
        <v>192</v>
      </c>
      <c r="B45" s="2" t="s">
        <v>49</v>
      </c>
      <c r="C45" s="2" t="s">
        <v>561</v>
      </c>
      <c r="D45" s="2" t="s">
        <v>0</v>
      </c>
      <c r="E45" s="2" t="s">
        <v>0</v>
      </c>
      <c r="F45" s="2" t="s">
        <v>0</v>
      </c>
      <c r="G45" s="2" t="s">
        <v>50</v>
      </c>
      <c r="H45" s="2" t="s">
        <v>0</v>
      </c>
      <c r="I45" s="2" t="s">
        <v>51</v>
      </c>
      <c r="J45" s="2" t="s">
        <v>52</v>
      </c>
      <c r="K45" s="2" t="s">
        <v>53</v>
      </c>
      <c r="L45" s="2" t="s">
        <v>0</v>
      </c>
    </row>
    <row r="46" spans="1:13">
      <c r="A46" s="2">
        <v>5</v>
      </c>
      <c r="B46" s="2" t="s">
        <v>193</v>
      </c>
      <c r="C46" s="2" t="s">
        <v>560</v>
      </c>
      <c r="D46" s="2" t="s">
        <v>0</v>
      </c>
      <c r="E46" s="2" t="s">
        <v>0</v>
      </c>
      <c r="F46" s="2" t="s">
        <v>0</v>
      </c>
      <c r="G46" s="2" t="s">
        <v>195</v>
      </c>
      <c r="H46" s="2" t="s">
        <v>0</v>
      </c>
      <c r="I46" s="2" t="s">
        <v>196</v>
      </c>
      <c r="J46" s="2" t="s">
        <v>21</v>
      </c>
      <c r="K46" s="2" t="s">
        <v>197</v>
      </c>
      <c r="L46" s="2" t="s">
        <v>0</v>
      </c>
    </row>
    <row r="47" spans="1:13">
      <c r="A47" s="2" t="s">
        <v>176</v>
      </c>
      <c r="B47" s="2" t="s">
        <v>177</v>
      </c>
      <c r="C47" s="2" t="s">
        <v>178</v>
      </c>
      <c r="D47" s="2" t="s">
        <v>254</v>
      </c>
      <c r="E47" s="2" t="s">
        <v>0</v>
      </c>
      <c r="F47" s="2" t="s">
        <v>285</v>
      </c>
      <c r="G47" s="2" t="s">
        <v>179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</row>
  </sheetData>
  <phoneticPr fontId="6" type="noConversion"/>
  <pageMargins left="0.7" right="0.7" top="0.75" bottom="0.75" header="0.3" footer="0.3"/>
  <pageSetup scale="69" fitToHeight="0" orientation="landscape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C86E-1B9F-4431-A4B3-3BF96BDF1992}">
  <sheetPr>
    <pageSetUpPr fitToPage="1"/>
  </sheetPr>
  <dimension ref="A1:Q51"/>
  <sheetViews>
    <sheetView workbookViewId="0">
      <selection activeCell="A51" sqref="A51"/>
    </sheetView>
  </sheetViews>
  <sheetFormatPr defaultRowHeight="15"/>
  <cols>
    <col min="1" max="1" width="16.7109375" style="2" customWidth="1"/>
    <col min="2" max="2" width="10.28515625" style="2" bestFit="1" customWidth="1"/>
    <col min="3" max="3" width="18.85546875" style="2" hidden="1" customWidth="1"/>
    <col min="4" max="4" width="19.42578125" style="2" hidden="1" customWidth="1"/>
    <col min="5" max="5" width="14.7109375" style="2" hidden="1" customWidth="1"/>
    <col min="6" max="6" width="12.5703125" style="2" customWidth="1"/>
    <col min="7" max="7" width="10.140625" style="2" customWidth="1"/>
    <col min="8" max="9" width="12.7109375" style="2" bestFit="1" customWidth="1"/>
    <col min="10" max="10" width="16" style="2" bestFit="1" customWidth="1"/>
    <col min="11" max="11" width="16.5703125" style="2" bestFit="1" customWidth="1"/>
    <col min="12" max="12" width="9.5703125" style="2" bestFit="1" customWidth="1"/>
    <col min="13" max="14" width="8" style="2" bestFit="1" customWidth="1"/>
    <col min="15" max="15" width="9.140625" style="2" bestFit="1" customWidth="1"/>
    <col min="16" max="16" width="11.7109375" style="2" bestFit="1" customWidth="1"/>
    <col min="17" max="17" width="15.42578125" bestFit="1" customWidth="1"/>
  </cols>
  <sheetData>
    <row r="1" spans="1:17" s="182" customFormat="1" ht="30">
      <c r="A1" s="175" t="s">
        <v>1</v>
      </c>
      <c r="B1" s="175" t="s">
        <v>1109</v>
      </c>
      <c r="C1" s="175" t="s">
        <v>1181</v>
      </c>
      <c r="D1" s="175" t="s">
        <v>1144</v>
      </c>
      <c r="E1" s="175" t="s">
        <v>1172</v>
      </c>
      <c r="F1" s="175" t="s">
        <v>2</v>
      </c>
      <c r="G1" s="175" t="s">
        <v>3</v>
      </c>
      <c r="H1" s="175" t="s">
        <v>4</v>
      </c>
      <c r="I1" s="175" t="s">
        <v>5</v>
      </c>
      <c r="J1" s="175" t="s">
        <v>6</v>
      </c>
      <c r="K1" s="175" t="s">
        <v>7</v>
      </c>
      <c r="L1" s="175" t="s">
        <v>8</v>
      </c>
      <c r="M1" s="175" t="s">
        <v>9</v>
      </c>
      <c r="N1" s="175" t="s">
        <v>10</v>
      </c>
      <c r="O1" s="175" t="s">
        <v>11</v>
      </c>
      <c r="P1" s="175" t="s">
        <v>12</v>
      </c>
      <c r="Q1" s="175" t="s">
        <v>605</v>
      </c>
    </row>
    <row r="2" spans="1:17">
      <c r="A2" s="2" t="s">
        <v>42</v>
      </c>
      <c r="B2" s="2" t="s">
        <v>73</v>
      </c>
      <c r="C2" s="2" t="s">
        <v>1148</v>
      </c>
      <c r="D2" s="2" t="s">
        <v>1148</v>
      </c>
      <c r="E2" s="2" t="s">
        <v>1152</v>
      </c>
      <c r="F2" s="2" t="s">
        <v>43</v>
      </c>
      <c r="G2" s="2" t="s">
        <v>44</v>
      </c>
      <c r="H2" s="2" t="s">
        <v>0</v>
      </c>
      <c r="I2" s="2" t="s">
        <v>0</v>
      </c>
      <c r="J2" s="2" t="s">
        <v>0</v>
      </c>
      <c r="K2" s="2" t="s">
        <v>45</v>
      </c>
      <c r="L2" s="2" t="s">
        <v>0</v>
      </c>
      <c r="M2" s="2" t="s">
        <v>46</v>
      </c>
      <c r="N2" s="2" t="s">
        <v>47</v>
      </c>
      <c r="O2" s="2" t="s">
        <v>48</v>
      </c>
      <c r="P2" s="2" t="s">
        <v>0</v>
      </c>
      <c r="Q2" s="2"/>
    </row>
    <row r="3" spans="1:17">
      <c r="A3" s="2" t="s">
        <v>119</v>
      </c>
      <c r="B3" s="2" t="s">
        <v>85</v>
      </c>
      <c r="C3" s="2" t="s">
        <v>1150</v>
      </c>
      <c r="D3" s="2" t="s">
        <v>1150</v>
      </c>
      <c r="F3" s="2" t="s">
        <v>120</v>
      </c>
      <c r="G3" s="2" t="s">
        <v>121</v>
      </c>
      <c r="H3" s="2" t="s">
        <v>286</v>
      </c>
      <c r="I3" s="2" t="s">
        <v>279</v>
      </c>
      <c r="J3" s="2" t="s">
        <v>0</v>
      </c>
      <c r="K3" s="2" t="s">
        <v>122</v>
      </c>
      <c r="L3" s="2" t="s">
        <v>0</v>
      </c>
      <c r="M3" s="2" t="s">
        <v>0</v>
      </c>
      <c r="N3" s="2" t="s">
        <v>0</v>
      </c>
      <c r="O3" s="2" t="s">
        <v>123</v>
      </c>
      <c r="P3" s="2" t="s">
        <v>273</v>
      </c>
      <c r="Q3" s="2"/>
    </row>
    <row r="4" spans="1:17">
      <c r="A4" s="2" t="s">
        <v>124</v>
      </c>
      <c r="B4" s="2" t="s">
        <v>1119</v>
      </c>
      <c r="C4" s="2" t="s">
        <v>1149</v>
      </c>
      <c r="D4" s="2" t="s">
        <v>1149</v>
      </c>
      <c r="F4" s="2" t="s">
        <v>125</v>
      </c>
      <c r="G4" s="2" t="s">
        <v>126</v>
      </c>
      <c r="H4" s="2" t="s">
        <v>244</v>
      </c>
      <c r="I4" s="2" t="s">
        <v>280</v>
      </c>
      <c r="J4" s="2" t="s">
        <v>0</v>
      </c>
      <c r="K4" s="2" t="s">
        <v>127</v>
      </c>
      <c r="L4" s="2" t="s">
        <v>0</v>
      </c>
      <c r="M4" s="2" t="s">
        <v>0</v>
      </c>
      <c r="N4" s="2" t="s">
        <v>0</v>
      </c>
      <c r="O4" s="2" t="s">
        <v>128</v>
      </c>
      <c r="P4" s="2" t="s">
        <v>274</v>
      </c>
      <c r="Q4" s="2"/>
    </row>
    <row r="5" spans="1:17">
      <c r="A5" s="2" t="s">
        <v>176</v>
      </c>
      <c r="B5" s="2" t="s">
        <v>1120</v>
      </c>
      <c r="C5" s="2" t="s">
        <v>1183</v>
      </c>
      <c r="D5" s="2" t="s">
        <v>1151</v>
      </c>
      <c r="F5" s="2" t="s">
        <v>177</v>
      </c>
      <c r="G5" s="2" t="s">
        <v>178</v>
      </c>
      <c r="H5" s="2" t="s">
        <v>254</v>
      </c>
      <c r="I5" s="2" t="s">
        <v>0</v>
      </c>
      <c r="J5" s="2" t="s">
        <v>285</v>
      </c>
      <c r="K5" s="2" t="s">
        <v>179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/>
    </row>
    <row r="6" spans="1:17">
      <c r="A6" s="2" t="s">
        <v>22</v>
      </c>
      <c r="B6" s="2" t="s">
        <v>1133</v>
      </c>
      <c r="C6" s="2" t="s">
        <v>1185</v>
      </c>
      <c r="D6" s="2" t="s">
        <v>381</v>
      </c>
      <c r="F6" s="2" t="s">
        <v>23</v>
      </c>
      <c r="G6" s="2" t="s">
        <v>24</v>
      </c>
      <c r="H6" s="2" t="s">
        <v>239</v>
      </c>
      <c r="I6" s="2" t="s">
        <v>0</v>
      </c>
      <c r="J6" s="2" t="s">
        <v>262</v>
      </c>
      <c r="K6" s="2" t="s">
        <v>25</v>
      </c>
      <c r="L6" s="2" t="s">
        <v>26</v>
      </c>
      <c r="M6" s="2" t="s">
        <v>0</v>
      </c>
      <c r="N6" s="2" t="s">
        <v>27</v>
      </c>
      <c r="O6" s="2" t="s">
        <v>0</v>
      </c>
      <c r="P6" s="2" t="s">
        <v>0</v>
      </c>
      <c r="Q6" s="2"/>
    </row>
    <row r="7" spans="1:17">
      <c r="A7" s="2">
        <v>5</v>
      </c>
      <c r="B7" s="2" t="s">
        <v>1132</v>
      </c>
      <c r="C7" s="2" t="s">
        <v>1154</v>
      </c>
      <c r="D7" s="2" t="s">
        <v>1154</v>
      </c>
      <c r="E7" s="2" t="s">
        <v>1153</v>
      </c>
      <c r="F7" s="2" t="s">
        <v>193</v>
      </c>
      <c r="G7" s="2" t="s">
        <v>194</v>
      </c>
      <c r="H7" s="2" t="s">
        <v>0</v>
      </c>
      <c r="I7" s="2" t="s">
        <v>0</v>
      </c>
      <c r="J7" s="2" t="s">
        <v>0</v>
      </c>
      <c r="K7" s="2" t="s">
        <v>195</v>
      </c>
      <c r="L7" s="2" t="s">
        <v>0</v>
      </c>
      <c r="M7" s="2" t="s">
        <v>196</v>
      </c>
      <c r="N7" s="2" t="s">
        <v>21</v>
      </c>
      <c r="O7" s="2" t="s">
        <v>197</v>
      </c>
      <c r="P7" s="2" t="s">
        <v>0</v>
      </c>
      <c r="Q7" s="2"/>
    </row>
    <row r="8" spans="1:17">
      <c r="A8" s="2" t="s">
        <v>16</v>
      </c>
      <c r="B8" s="2" t="s">
        <v>1134</v>
      </c>
      <c r="C8" s="2" t="s">
        <v>1184</v>
      </c>
      <c r="D8" s="2" t="s">
        <v>382</v>
      </c>
      <c r="F8" s="2" t="s">
        <v>17</v>
      </c>
      <c r="G8" s="2" t="s">
        <v>18</v>
      </c>
      <c r="H8" s="2" t="s">
        <v>238</v>
      </c>
      <c r="I8" s="2" t="s">
        <v>0</v>
      </c>
      <c r="J8" s="2" t="s">
        <v>261</v>
      </c>
      <c r="K8" s="2" t="s">
        <v>19</v>
      </c>
      <c r="L8" s="2" t="s">
        <v>20</v>
      </c>
      <c r="M8" s="2" t="s">
        <v>0</v>
      </c>
      <c r="N8" s="2" t="s">
        <v>21</v>
      </c>
      <c r="O8" s="2" t="s">
        <v>0</v>
      </c>
      <c r="P8" s="2" t="s">
        <v>0</v>
      </c>
      <c r="Q8" s="2"/>
    </row>
    <row r="9" spans="1:17">
      <c r="A9" s="2" t="s">
        <v>109</v>
      </c>
      <c r="B9" s="2" t="s">
        <v>1123</v>
      </c>
      <c r="C9" s="2" t="s">
        <v>1186</v>
      </c>
      <c r="F9" s="2" t="s">
        <v>110</v>
      </c>
      <c r="G9" s="2" t="s">
        <v>111</v>
      </c>
      <c r="H9" s="2" t="s">
        <v>1219</v>
      </c>
      <c r="I9" s="2" t="s">
        <v>1221</v>
      </c>
      <c r="J9" s="2" t="s">
        <v>0</v>
      </c>
      <c r="K9" s="2" t="s">
        <v>0</v>
      </c>
      <c r="L9" s="2" t="s">
        <v>0</v>
      </c>
      <c r="M9" s="2" t="s">
        <v>112</v>
      </c>
      <c r="N9" s="2" t="s">
        <v>0</v>
      </c>
      <c r="O9" s="2" t="s">
        <v>113</v>
      </c>
      <c r="P9" s="2" t="s">
        <v>271</v>
      </c>
      <c r="Q9" s="30" t="s">
        <v>364</v>
      </c>
    </row>
    <row r="10" spans="1:17">
      <c r="A10" s="2" t="s">
        <v>114</v>
      </c>
      <c r="B10" s="2" t="s">
        <v>1136</v>
      </c>
      <c r="C10" s="2" t="s">
        <v>1187</v>
      </c>
      <c r="F10" s="2" t="s">
        <v>115</v>
      </c>
      <c r="G10" s="2" t="s">
        <v>116</v>
      </c>
      <c r="H10" s="2" t="s">
        <v>1220</v>
      </c>
      <c r="I10" s="2" t="s">
        <v>1222</v>
      </c>
      <c r="J10" s="2" t="s">
        <v>0</v>
      </c>
      <c r="K10" s="2" t="s">
        <v>0</v>
      </c>
      <c r="L10" s="2" t="s">
        <v>0</v>
      </c>
      <c r="M10" s="2" t="s">
        <v>117</v>
      </c>
      <c r="N10" s="2" t="s">
        <v>0</v>
      </c>
      <c r="O10" s="2" t="s">
        <v>118</v>
      </c>
      <c r="P10" s="2" t="s">
        <v>272</v>
      </c>
      <c r="Q10" s="30" t="s">
        <v>363</v>
      </c>
    </row>
    <row r="11" spans="1:17">
      <c r="A11" s="2" t="s">
        <v>1112</v>
      </c>
      <c r="B11" s="2" t="s">
        <v>1113</v>
      </c>
      <c r="C11" s="2" t="s">
        <v>1147</v>
      </c>
      <c r="D11" s="2" t="s">
        <v>1147</v>
      </c>
      <c r="Q11" s="2"/>
    </row>
    <row r="12" spans="1:17">
      <c r="A12" s="2" t="s">
        <v>35</v>
      </c>
      <c r="B12" s="2" t="s">
        <v>186</v>
      </c>
      <c r="C12" s="2" t="s">
        <v>1155</v>
      </c>
      <c r="D12" s="2" t="s">
        <v>1155</v>
      </c>
      <c r="F12" s="2" t="s">
        <v>36</v>
      </c>
      <c r="G12" s="2" t="s">
        <v>37</v>
      </c>
      <c r="H12" s="2" t="s">
        <v>0</v>
      </c>
      <c r="I12" s="2" t="s">
        <v>0</v>
      </c>
      <c r="J12" s="2" t="s">
        <v>0</v>
      </c>
      <c r="K12" s="2" t="s">
        <v>38</v>
      </c>
      <c r="L12" s="2" t="s">
        <v>0</v>
      </c>
      <c r="M12" s="2" t="s">
        <v>39</v>
      </c>
      <c r="N12" s="2" t="s">
        <v>40</v>
      </c>
      <c r="O12" s="2" t="s">
        <v>41</v>
      </c>
      <c r="P12" s="2" t="s">
        <v>0</v>
      </c>
      <c r="Q12" s="2"/>
    </row>
    <row r="13" spans="1:17">
      <c r="A13" s="2" t="s">
        <v>97</v>
      </c>
      <c r="B13" s="2" t="s">
        <v>210</v>
      </c>
      <c r="C13" s="2" t="s">
        <v>403</v>
      </c>
      <c r="D13" s="2" t="s">
        <v>403</v>
      </c>
      <c r="F13" s="2" t="s">
        <v>98</v>
      </c>
      <c r="G13" s="2" t="s">
        <v>99</v>
      </c>
      <c r="H13" s="2" t="s">
        <v>242</v>
      </c>
      <c r="I13" s="2" t="s">
        <v>0</v>
      </c>
      <c r="J13" s="2" t="s">
        <v>0</v>
      </c>
      <c r="K13" s="2" t="s">
        <v>100</v>
      </c>
      <c r="L13" s="2" t="s">
        <v>0</v>
      </c>
      <c r="M13" s="2" t="s">
        <v>101</v>
      </c>
      <c r="N13" s="2" t="s">
        <v>0</v>
      </c>
      <c r="O13" s="2" t="s">
        <v>102</v>
      </c>
      <c r="P13" s="2" t="s">
        <v>269</v>
      </c>
      <c r="Q13" s="2"/>
    </row>
    <row r="14" spans="1:17">
      <c r="A14" s="2" t="s">
        <v>1111</v>
      </c>
      <c r="B14" s="2" t="s">
        <v>211</v>
      </c>
      <c r="C14" s="2" t="s">
        <v>1188</v>
      </c>
      <c r="Q14" s="2"/>
    </row>
    <row r="15" spans="1:17">
      <c r="A15" s="2" t="s">
        <v>1116</v>
      </c>
      <c r="B15" s="2" t="s">
        <v>318</v>
      </c>
      <c r="C15" s="2" t="s">
        <v>1189</v>
      </c>
      <c r="Q15" s="2"/>
    </row>
    <row r="16" spans="1:17">
      <c r="A16" s="2" t="s">
        <v>103</v>
      </c>
      <c r="B16" s="2" t="s">
        <v>573</v>
      </c>
      <c r="C16" s="2" t="s">
        <v>402</v>
      </c>
      <c r="D16" s="2" t="s">
        <v>402</v>
      </c>
      <c r="F16" s="2" t="s">
        <v>104</v>
      </c>
      <c r="G16" s="2" t="s">
        <v>105</v>
      </c>
      <c r="H16" s="2" t="s">
        <v>243</v>
      </c>
      <c r="I16" s="2" t="s">
        <v>0</v>
      </c>
      <c r="J16" s="2" t="s">
        <v>0</v>
      </c>
      <c r="K16" s="2" t="s">
        <v>106</v>
      </c>
      <c r="L16" s="2" t="s">
        <v>0</v>
      </c>
      <c r="M16" s="2" t="s">
        <v>107</v>
      </c>
      <c r="N16" s="2" t="s">
        <v>0</v>
      </c>
      <c r="O16" s="2" t="s">
        <v>108</v>
      </c>
      <c r="P16" s="2" t="s">
        <v>270</v>
      </c>
      <c r="Q16" s="2"/>
    </row>
    <row r="17" spans="1:17">
      <c r="A17" s="2" t="s">
        <v>172</v>
      </c>
      <c r="B17" s="2" t="s">
        <v>1143</v>
      </c>
      <c r="C17" s="2" t="s">
        <v>1145</v>
      </c>
      <c r="D17" s="2" t="s">
        <v>1145</v>
      </c>
      <c r="F17" s="2" t="s">
        <v>173</v>
      </c>
      <c r="G17" s="2" t="s">
        <v>174</v>
      </c>
      <c r="H17" s="2" t="s">
        <v>253</v>
      </c>
      <c r="I17" s="2" t="s">
        <v>0</v>
      </c>
      <c r="J17" s="2" t="s">
        <v>0</v>
      </c>
      <c r="K17" s="2" t="s">
        <v>175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/>
    </row>
    <row r="18" spans="1:17">
      <c r="A18" s="2" t="s">
        <v>575</v>
      </c>
      <c r="B18" s="2" t="s">
        <v>575</v>
      </c>
      <c r="C18" s="2" t="s">
        <v>1190</v>
      </c>
      <c r="D18" s="2" t="s">
        <v>1157</v>
      </c>
      <c r="F18" t="s">
        <v>577</v>
      </c>
      <c r="G18" s="2" t="s">
        <v>583</v>
      </c>
      <c r="I18" s="2" t="s">
        <v>1215</v>
      </c>
      <c r="K18" s="2" t="s">
        <v>590</v>
      </c>
      <c r="O18" s="2" t="s">
        <v>591</v>
      </c>
      <c r="Q18" s="2" t="s">
        <v>610</v>
      </c>
    </row>
    <row r="19" spans="1:17">
      <c r="A19" s="2" t="s">
        <v>180</v>
      </c>
      <c r="B19" s="2" t="s">
        <v>576</v>
      </c>
      <c r="C19" s="2" t="s">
        <v>1191</v>
      </c>
      <c r="F19" s="2" t="s">
        <v>198</v>
      </c>
      <c r="G19" s="2">
        <v>3.23</v>
      </c>
      <c r="I19" s="2" t="s">
        <v>0</v>
      </c>
      <c r="J19" s="2" t="s">
        <v>0</v>
      </c>
      <c r="K19" s="2" t="s">
        <v>199</v>
      </c>
      <c r="L19" s="2" t="s">
        <v>200</v>
      </c>
      <c r="M19" s="2" t="s">
        <v>201</v>
      </c>
      <c r="N19" s="2" t="s">
        <v>207</v>
      </c>
      <c r="O19" s="2" t="s">
        <v>0</v>
      </c>
      <c r="P19" s="2" t="s">
        <v>0</v>
      </c>
      <c r="Q19" s="2"/>
    </row>
    <row r="20" spans="1:17">
      <c r="A20" s="2" t="s">
        <v>576</v>
      </c>
      <c r="B20" s="2" t="s">
        <v>347</v>
      </c>
      <c r="C20" s="2" t="s">
        <v>1192</v>
      </c>
      <c r="D20" s="2" t="s">
        <v>1158</v>
      </c>
      <c r="F20" s="2" t="s">
        <v>578</v>
      </c>
      <c r="G20" s="2" t="s">
        <v>584</v>
      </c>
      <c r="I20" s="2" t="s">
        <v>1216</v>
      </c>
      <c r="K20" s="2" t="s">
        <v>592</v>
      </c>
      <c r="O20" s="2" t="s">
        <v>593</v>
      </c>
      <c r="Q20" s="2" t="s">
        <v>611</v>
      </c>
    </row>
    <row r="21" spans="1:17">
      <c r="A21" s="2" t="s">
        <v>184</v>
      </c>
      <c r="B21" s="2" t="s">
        <v>348</v>
      </c>
      <c r="C21" s="2" t="s">
        <v>1193</v>
      </c>
      <c r="F21" s="2" t="s">
        <v>202</v>
      </c>
      <c r="G21" s="2">
        <v>3.22</v>
      </c>
      <c r="I21" s="2" t="s">
        <v>0</v>
      </c>
      <c r="J21" s="2" t="s">
        <v>0</v>
      </c>
      <c r="K21" s="2" t="s">
        <v>203</v>
      </c>
      <c r="L21" s="2" t="s">
        <v>204</v>
      </c>
      <c r="M21" s="2" t="s">
        <v>205</v>
      </c>
      <c r="N21" s="2" t="s">
        <v>206</v>
      </c>
      <c r="O21" s="2" t="s">
        <v>0</v>
      </c>
      <c r="P21" s="2" t="s">
        <v>0</v>
      </c>
      <c r="Q21" s="2"/>
    </row>
    <row r="22" spans="1:17">
      <c r="A22" s="2" t="s">
        <v>347</v>
      </c>
      <c r="B22" s="2" t="s">
        <v>349</v>
      </c>
      <c r="C22" s="2" t="s">
        <v>1194</v>
      </c>
      <c r="D22" s="2" t="s">
        <v>1159</v>
      </c>
      <c r="F22" s="2" t="s">
        <v>579</v>
      </c>
      <c r="G22" s="2" t="s">
        <v>585</v>
      </c>
      <c r="K22" s="2" t="s">
        <v>127</v>
      </c>
      <c r="O22" s="2" t="s">
        <v>596</v>
      </c>
      <c r="Q22" s="2" t="s">
        <v>612</v>
      </c>
    </row>
    <row r="23" spans="1:17">
      <c r="A23" s="2" t="s">
        <v>348</v>
      </c>
      <c r="B23" s="2" t="s">
        <v>351</v>
      </c>
      <c r="C23" s="2" t="s">
        <v>1195</v>
      </c>
      <c r="D23" s="2" t="s">
        <v>1160</v>
      </c>
      <c r="F23" s="2" t="s">
        <v>580</v>
      </c>
      <c r="G23" s="2" t="s">
        <v>586</v>
      </c>
      <c r="K23" s="2" t="s">
        <v>122</v>
      </c>
      <c r="O23" s="2" t="s">
        <v>594</v>
      </c>
      <c r="Q23" s="2" t="s">
        <v>613</v>
      </c>
    </row>
    <row r="24" spans="1:17">
      <c r="A24" s="2" t="s">
        <v>28</v>
      </c>
      <c r="B24" s="2" t="s">
        <v>352</v>
      </c>
      <c r="C24" s="2" t="s">
        <v>1156</v>
      </c>
      <c r="D24" s="2" t="s">
        <v>1156</v>
      </c>
      <c r="E24" s="2" t="s">
        <v>1162</v>
      </c>
      <c r="F24" s="2" t="s">
        <v>29</v>
      </c>
      <c r="G24" s="2" t="s">
        <v>30</v>
      </c>
      <c r="H24" s="2" t="s">
        <v>0</v>
      </c>
      <c r="I24" s="2" t="s">
        <v>0</v>
      </c>
      <c r="J24" s="2" t="s">
        <v>0</v>
      </c>
      <c r="K24" s="2" t="s">
        <v>31</v>
      </c>
      <c r="L24" s="2" t="s">
        <v>0</v>
      </c>
      <c r="M24" s="2" t="s">
        <v>32</v>
      </c>
      <c r="N24" s="2" t="s">
        <v>33</v>
      </c>
      <c r="O24" s="2" t="s">
        <v>34</v>
      </c>
      <c r="P24" s="2" t="s">
        <v>0</v>
      </c>
      <c r="Q24" s="2"/>
    </row>
    <row r="25" spans="1:17">
      <c r="A25" s="2" t="s">
        <v>349</v>
      </c>
      <c r="B25" s="2" t="s">
        <v>353</v>
      </c>
      <c r="C25" s="2" t="s">
        <v>1196</v>
      </c>
      <c r="D25" s="2" t="s">
        <v>1161</v>
      </c>
      <c r="F25" s="2" t="s">
        <v>581</v>
      </c>
      <c r="G25" s="2" t="s">
        <v>587</v>
      </c>
      <c r="K25" s="2" t="s">
        <v>100</v>
      </c>
      <c r="O25" s="2" t="s">
        <v>597</v>
      </c>
      <c r="Q25" s="2" t="s">
        <v>614</v>
      </c>
    </row>
    <row r="26" spans="1:17">
      <c r="A26" s="2" t="s">
        <v>139</v>
      </c>
      <c r="B26" s="2" t="s">
        <v>355</v>
      </c>
      <c r="C26" s="2" t="s">
        <v>1163</v>
      </c>
      <c r="D26" s="2" t="s">
        <v>1163</v>
      </c>
      <c r="F26" s="2" t="s">
        <v>140</v>
      </c>
      <c r="G26" s="2" t="s">
        <v>141</v>
      </c>
      <c r="H26" s="2" t="s">
        <v>0</v>
      </c>
      <c r="I26" s="2" t="s">
        <v>0</v>
      </c>
      <c r="J26" s="2" t="s">
        <v>0</v>
      </c>
      <c r="K26" s="2" t="s">
        <v>142</v>
      </c>
      <c r="L26" s="2" t="s">
        <v>83</v>
      </c>
      <c r="M26" s="2" t="s">
        <v>0</v>
      </c>
      <c r="N26" s="2" t="s">
        <v>0</v>
      </c>
      <c r="O26" s="2" t="s">
        <v>143</v>
      </c>
      <c r="P26" s="2" t="s">
        <v>277</v>
      </c>
      <c r="Q26" s="30" t="s">
        <v>365</v>
      </c>
    </row>
    <row r="27" spans="1:17">
      <c r="A27" s="2" t="s">
        <v>1114</v>
      </c>
      <c r="B27" s="2" t="s">
        <v>1115</v>
      </c>
      <c r="C27" s="2" t="s">
        <v>1146</v>
      </c>
      <c r="D27" s="2" t="s">
        <v>1146</v>
      </c>
      <c r="Q27" s="2"/>
    </row>
    <row r="28" spans="1:17">
      <c r="A28" s="2" t="s">
        <v>134</v>
      </c>
      <c r="B28" s="2" t="s">
        <v>356</v>
      </c>
      <c r="C28" s="2" t="s">
        <v>1197</v>
      </c>
      <c r="D28" s="2" t="s">
        <v>1164</v>
      </c>
      <c r="E28" s="2" t="s">
        <v>1165</v>
      </c>
      <c r="F28" s="2" t="s">
        <v>135</v>
      </c>
      <c r="G28" s="2" t="s">
        <v>136</v>
      </c>
      <c r="H28" s="2" t="s">
        <v>248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137</v>
      </c>
      <c r="N28" s="2" t="s">
        <v>0</v>
      </c>
      <c r="O28" s="2" t="s">
        <v>138</v>
      </c>
      <c r="P28" s="2" t="s">
        <v>276</v>
      </c>
      <c r="Q28" s="2"/>
    </row>
    <row r="29" spans="1:17">
      <c r="A29" s="2" t="s">
        <v>156</v>
      </c>
      <c r="B29" s="2" t="s">
        <v>357</v>
      </c>
      <c r="C29" s="2" t="s">
        <v>1198</v>
      </c>
      <c r="F29" s="2" t="s">
        <v>157</v>
      </c>
      <c r="G29" s="2" t="s">
        <v>158</v>
      </c>
      <c r="H29" s="2" t="s">
        <v>252</v>
      </c>
      <c r="I29" s="2" t="s">
        <v>1224</v>
      </c>
      <c r="J29" s="2" t="s">
        <v>0</v>
      </c>
      <c r="K29" s="2" t="s">
        <v>159</v>
      </c>
      <c r="L29" s="2" t="s">
        <v>160</v>
      </c>
      <c r="M29" s="2" t="s">
        <v>0</v>
      </c>
      <c r="N29" s="2" t="s">
        <v>0</v>
      </c>
      <c r="O29" s="2" t="s">
        <v>0</v>
      </c>
      <c r="P29" s="2" t="s">
        <v>161</v>
      </c>
      <c r="Q29" s="2"/>
    </row>
    <row r="30" spans="1:17">
      <c r="A30" s="2" t="s">
        <v>129</v>
      </c>
      <c r="B30" s="2" t="s">
        <v>358</v>
      </c>
      <c r="C30" s="2" t="s">
        <v>1199</v>
      </c>
      <c r="D30" s="2" t="s">
        <v>1166</v>
      </c>
      <c r="E30" s="2" t="s">
        <v>1167</v>
      </c>
      <c r="F30" s="2" t="s">
        <v>130</v>
      </c>
      <c r="G30" s="2" t="s">
        <v>131</v>
      </c>
      <c r="H30" s="2" t="s">
        <v>247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132</v>
      </c>
      <c r="N30" s="2" t="s">
        <v>0</v>
      </c>
      <c r="O30" s="2" t="s">
        <v>133</v>
      </c>
      <c r="P30" s="2" t="s">
        <v>275</v>
      </c>
      <c r="Q30" s="2"/>
    </row>
    <row r="31" spans="1:17">
      <c r="A31" s="2" t="s">
        <v>151</v>
      </c>
      <c r="B31" s="2" t="s">
        <v>359</v>
      </c>
      <c r="C31" s="2" t="s">
        <v>1200</v>
      </c>
      <c r="F31" s="2" t="s">
        <v>152</v>
      </c>
      <c r="G31" s="2" t="s">
        <v>153</v>
      </c>
      <c r="H31" s="2" t="s">
        <v>251</v>
      </c>
      <c r="I31" s="2" t="s">
        <v>1223</v>
      </c>
      <c r="J31" s="2" t="s">
        <v>0</v>
      </c>
      <c r="K31" s="2" t="s">
        <v>154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155</v>
      </c>
      <c r="Q31" s="2"/>
    </row>
    <row r="32" spans="1:17">
      <c r="A32" s="2">
        <v>8</v>
      </c>
      <c r="B32" s="2" t="s">
        <v>360</v>
      </c>
      <c r="C32" s="2" t="s">
        <v>1202</v>
      </c>
      <c r="D32" s="2" t="s">
        <v>1168</v>
      </c>
      <c r="E32" s="2" t="s">
        <v>1169</v>
      </c>
      <c r="F32" s="2" t="s">
        <v>59</v>
      </c>
      <c r="G32" s="2" t="s">
        <v>60</v>
      </c>
      <c r="H32" s="2" t="s">
        <v>1218</v>
      </c>
      <c r="I32" s="2" t="s">
        <v>0</v>
      </c>
      <c r="J32" s="2" t="s">
        <v>0</v>
      </c>
      <c r="K32" s="2" t="s">
        <v>61</v>
      </c>
      <c r="L32" s="2" t="s">
        <v>0</v>
      </c>
      <c r="M32" s="2" t="s">
        <v>62</v>
      </c>
      <c r="N32" s="2" t="s">
        <v>63</v>
      </c>
      <c r="O32" s="2" t="s">
        <v>232</v>
      </c>
      <c r="Q32" s="2"/>
    </row>
    <row r="33" spans="1:17">
      <c r="A33" s="2" t="s">
        <v>73</v>
      </c>
      <c r="B33" s="2" t="s">
        <v>1131</v>
      </c>
      <c r="C33" s="2" t="s">
        <v>1170</v>
      </c>
      <c r="D33" s="2" t="s">
        <v>1170</v>
      </c>
      <c r="F33" s="2" t="s">
        <v>74</v>
      </c>
      <c r="G33" s="2" t="s">
        <v>75</v>
      </c>
      <c r="H33" s="2" t="s">
        <v>0</v>
      </c>
      <c r="I33" s="2" t="s">
        <v>0</v>
      </c>
      <c r="J33" s="2" t="s">
        <v>255</v>
      </c>
      <c r="K33" s="2" t="s">
        <v>76</v>
      </c>
      <c r="L33" s="2" t="s">
        <v>0</v>
      </c>
      <c r="M33" s="2" t="s">
        <v>77</v>
      </c>
      <c r="N33" s="2" t="s">
        <v>0</v>
      </c>
      <c r="O33" s="2" t="s">
        <v>78</v>
      </c>
      <c r="P33" s="2" t="s">
        <v>0</v>
      </c>
      <c r="Q33" s="2" t="s">
        <v>606</v>
      </c>
    </row>
    <row r="34" spans="1:17">
      <c r="A34" s="2">
        <v>7</v>
      </c>
      <c r="B34" s="2" t="s">
        <v>1118</v>
      </c>
      <c r="C34" s="2" t="s">
        <v>1201</v>
      </c>
      <c r="D34" s="2" t="s">
        <v>1171</v>
      </c>
      <c r="F34" s="2" t="s">
        <v>54</v>
      </c>
      <c r="G34" s="2" t="s">
        <v>55</v>
      </c>
      <c r="H34" s="2" t="s">
        <v>1217</v>
      </c>
      <c r="I34" s="2" t="s">
        <v>0</v>
      </c>
      <c r="J34" s="2" t="s">
        <v>0</v>
      </c>
      <c r="K34" s="2" t="s">
        <v>56</v>
      </c>
      <c r="L34" s="2" t="s">
        <v>0</v>
      </c>
      <c r="M34" s="2" t="s">
        <v>57</v>
      </c>
      <c r="N34" s="2" t="s">
        <v>58</v>
      </c>
      <c r="O34" s="2" t="s">
        <v>233</v>
      </c>
      <c r="Q34" s="2"/>
    </row>
    <row r="35" spans="1:17">
      <c r="A35" s="2" t="s">
        <v>91</v>
      </c>
      <c r="B35" s="2" t="s">
        <v>1128</v>
      </c>
      <c r="C35" s="2" t="s">
        <v>1173</v>
      </c>
      <c r="D35" s="2" t="s">
        <v>1173</v>
      </c>
      <c r="F35" s="2" t="s">
        <v>92</v>
      </c>
      <c r="G35" s="2" t="s">
        <v>93</v>
      </c>
      <c r="H35" s="2" t="s">
        <v>0</v>
      </c>
      <c r="I35" s="2" t="s">
        <v>0</v>
      </c>
      <c r="J35" s="2" t="s">
        <v>258</v>
      </c>
      <c r="K35" s="2" t="s">
        <v>94</v>
      </c>
      <c r="L35" s="2" t="s">
        <v>95</v>
      </c>
      <c r="M35" s="2" t="s">
        <v>0</v>
      </c>
      <c r="N35" s="2" t="s">
        <v>0</v>
      </c>
      <c r="O35" s="2" t="s">
        <v>96</v>
      </c>
      <c r="P35" s="2" t="s">
        <v>0</v>
      </c>
      <c r="Q35" s="2" t="s">
        <v>609</v>
      </c>
    </row>
    <row r="36" spans="1:17">
      <c r="A36" s="2" t="s">
        <v>144</v>
      </c>
      <c r="B36" s="2" t="s">
        <v>1117</v>
      </c>
      <c r="C36" s="2" t="s">
        <v>1203</v>
      </c>
      <c r="F36" s="2" t="s">
        <v>145</v>
      </c>
      <c r="G36" s="2" t="s">
        <v>146</v>
      </c>
      <c r="H36" s="2" t="s">
        <v>0</v>
      </c>
      <c r="I36" s="2" t="s">
        <v>0</v>
      </c>
      <c r="J36" s="2" t="s">
        <v>0</v>
      </c>
      <c r="K36" s="2" t="s">
        <v>147</v>
      </c>
      <c r="L36" s="2" t="s">
        <v>95</v>
      </c>
      <c r="M36" s="2" t="s">
        <v>148</v>
      </c>
      <c r="N36" s="2" t="s">
        <v>0</v>
      </c>
      <c r="O36" s="2" t="s">
        <v>149</v>
      </c>
      <c r="P36" s="2" t="s">
        <v>278</v>
      </c>
      <c r="Q36" s="30" t="s">
        <v>366</v>
      </c>
    </row>
    <row r="37" spans="1:17">
      <c r="A37" s="2" t="s">
        <v>79</v>
      </c>
      <c r="B37" s="2" t="s">
        <v>1129</v>
      </c>
      <c r="C37" s="2" t="s">
        <v>1174</v>
      </c>
      <c r="D37" s="2" t="s">
        <v>1174</v>
      </c>
      <c r="F37" s="2" t="s">
        <v>80</v>
      </c>
      <c r="G37" s="2" t="s">
        <v>81</v>
      </c>
      <c r="H37" s="2" t="s">
        <v>0</v>
      </c>
      <c r="I37" s="2" t="s">
        <v>0</v>
      </c>
      <c r="J37" s="2" t="s">
        <v>256</v>
      </c>
      <c r="K37" s="2" t="s">
        <v>82</v>
      </c>
      <c r="L37" s="2" t="s">
        <v>83</v>
      </c>
      <c r="M37" s="2" t="s">
        <v>0</v>
      </c>
      <c r="N37" s="2" t="s">
        <v>0</v>
      </c>
      <c r="O37" s="2" t="s">
        <v>84</v>
      </c>
      <c r="P37" s="2" t="s">
        <v>0</v>
      </c>
      <c r="Q37" s="2" t="s">
        <v>608</v>
      </c>
    </row>
    <row r="38" spans="1:17">
      <c r="A38" s="2" t="s">
        <v>317</v>
      </c>
      <c r="B38" s="2" t="s">
        <v>1121</v>
      </c>
      <c r="C38" s="2" t="s">
        <v>1204</v>
      </c>
      <c r="F38" s="2" t="s">
        <v>220</v>
      </c>
      <c r="G38" s="2" t="s">
        <v>226</v>
      </c>
      <c r="I38" s="2" t="s">
        <v>1222</v>
      </c>
      <c r="J38" s="2" t="s">
        <v>265</v>
      </c>
      <c r="K38" s="2" t="s">
        <v>183</v>
      </c>
      <c r="N38" s="2" t="s">
        <v>230</v>
      </c>
      <c r="Q38" s="2" t="s">
        <v>215</v>
      </c>
    </row>
    <row r="39" spans="1:17">
      <c r="A39" s="2" t="s">
        <v>85</v>
      </c>
      <c r="B39" s="2" t="s">
        <v>1130</v>
      </c>
      <c r="C39" s="2" t="s">
        <v>1175</v>
      </c>
      <c r="D39" s="2" t="s">
        <v>1175</v>
      </c>
      <c r="F39" s="2" t="s">
        <v>86</v>
      </c>
      <c r="G39" s="2" t="s">
        <v>87</v>
      </c>
      <c r="H39" s="2" t="s">
        <v>0</v>
      </c>
      <c r="I39" s="2" t="s">
        <v>0</v>
      </c>
      <c r="J39" s="2" t="s">
        <v>257</v>
      </c>
      <c r="K39" s="2" t="s">
        <v>88</v>
      </c>
      <c r="L39" s="2" t="s">
        <v>0</v>
      </c>
      <c r="M39" s="2" t="s">
        <v>89</v>
      </c>
      <c r="N39" s="2" t="s">
        <v>0</v>
      </c>
      <c r="O39" s="2" t="s">
        <v>90</v>
      </c>
      <c r="P39" s="2" t="s">
        <v>0</v>
      </c>
      <c r="Q39" s="2" t="s">
        <v>607</v>
      </c>
    </row>
    <row r="40" spans="1:17">
      <c r="A40" s="2" t="s">
        <v>318</v>
      </c>
      <c r="B40" s="2" t="s">
        <v>1124</v>
      </c>
      <c r="C40" s="2" t="s">
        <v>1207</v>
      </c>
      <c r="F40" s="2" t="s">
        <v>219</v>
      </c>
      <c r="G40" s="2" t="s">
        <v>225</v>
      </c>
      <c r="I40" s="2" t="s">
        <v>1221</v>
      </c>
      <c r="J40" s="2" t="s">
        <v>266</v>
      </c>
      <c r="K40" s="2" t="s">
        <v>185</v>
      </c>
      <c r="N40" s="2" t="s">
        <v>231</v>
      </c>
      <c r="Q40" s="2" t="s">
        <v>216</v>
      </c>
    </row>
    <row r="41" spans="1:17">
      <c r="A41" s="2" t="s">
        <v>192</v>
      </c>
      <c r="B41" s="2" t="s">
        <v>1141</v>
      </c>
      <c r="C41" s="2" t="s">
        <v>1208</v>
      </c>
      <c r="D41" s="2" t="s">
        <v>1176</v>
      </c>
      <c r="F41" s="2" t="s">
        <v>49</v>
      </c>
      <c r="G41" s="2">
        <v>4.7</v>
      </c>
      <c r="H41" s="2" t="s">
        <v>0</v>
      </c>
      <c r="I41" s="2" t="s">
        <v>0</v>
      </c>
      <c r="J41" s="2" t="s">
        <v>0</v>
      </c>
      <c r="K41" s="2" t="s">
        <v>50</v>
      </c>
      <c r="L41" s="2" t="s">
        <v>0</v>
      </c>
      <c r="M41" s="2" t="s">
        <v>51</v>
      </c>
      <c r="N41" s="2" t="s">
        <v>52</v>
      </c>
      <c r="O41" s="2" t="s">
        <v>53</v>
      </c>
      <c r="P41" s="2" t="s">
        <v>0</v>
      </c>
      <c r="Q41" s="2"/>
    </row>
    <row r="42" spans="1:17">
      <c r="A42" s="2" t="s">
        <v>211</v>
      </c>
      <c r="B42" s="2" t="s">
        <v>1125</v>
      </c>
      <c r="C42" s="2" t="s">
        <v>1205</v>
      </c>
      <c r="F42" s="2" t="s">
        <v>221</v>
      </c>
      <c r="G42" s="2" t="s">
        <v>227</v>
      </c>
      <c r="H42" s="2" t="s">
        <v>250</v>
      </c>
      <c r="J42" s="2" t="s">
        <v>264</v>
      </c>
      <c r="K42" s="2" t="s">
        <v>234</v>
      </c>
      <c r="N42" s="2" t="s">
        <v>33</v>
      </c>
      <c r="Q42" s="2" t="s">
        <v>214</v>
      </c>
    </row>
    <row r="43" spans="1:17">
      <c r="A43" s="2" t="s">
        <v>186</v>
      </c>
      <c r="B43" s="2" t="s">
        <v>1140</v>
      </c>
      <c r="C43" s="2" t="s">
        <v>1209</v>
      </c>
      <c r="D43" s="2" t="s">
        <v>1177</v>
      </c>
      <c r="F43" s="2" t="s">
        <v>187</v>
      </c>
      <c r="G43" s="2" t="s">
        <v>188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189</v>
      </c>
      <c r="N43" s="2" t="s">
        <v>190</v>
      </c>
      <c r="O43" s="2" t="s">
        <v>191</v>
      </c>
      <c r="P43" s="2" t="s">
        <v>0</v>
      </c>
      <c r="Q43" s="2" t="s">
        <v>618</v>
      </c>
    </row>
    <row r="44" spans="1:17">
      <c r="A44" s="2" t="s">
        <v>210</v>
      </c>
      <c r="B44" s="2" t="s">
        <v>1126</v>
      </c>
      <c r="C44" s="2" t="s">
        <v>1205</v>
      </c>
      <c r="F44" s="2" t="s">
        <v>222</v>
      </c>
      <c r="G44" s="2" t="s">
        <v>570</v>
      </c>
      <c r="H44" s="2" t="s">
        <v>249</v>
      </c>
      <c r="J44" s="2" t="s">
        <v>263</v>
      </c>
      <c r="K44" s="2" t="s">
        <v>235</v>
      </c>
      <c r="N44" s="2" t="s">
        <v>40</v>
      </c>
      <c r="Q44" s="2" t="s">
        <v>213</v>
      </c>
    </row>
    <row r="45" spans="1:17">
      <c r="A45" s="2" t="s">
        <v>162</v>
      </c>
      <c r="B45" s="2" t="s">
        <v>1139</v>
      </c>
      <c r="C45" s="2" t="s">
        <v>1210</v>
      </c>
      <c r="F45" s="2" t="s">
        <v>163</v>
      </c>
      <c r="G45" s="2" t="s">
        <v>164</v>
      </c>
      <c r="H45" s="2" t="s">
        <v>0</v>
      </c>
      <c r="I45" s="2" t="s">
        <v>0</v>
      </c>
      <c r="J45" s="2" t="s">
        <v>259</v>
      </c>
      <c r="K45" s="2" t="s">
        <v>0</v>
      </c>
      <c r="L45" s="2" t="s">
        <v>0</v>
      </c>
      <c r="M45" s="2" t="s">
        <v>165</v>
      </c>
      <c r="N45" s="2" t="s">
        <v>0</v>
      </c>
      <c r="O45" s="2" t="s">
        <v>208</v>
      </c>
      <c r="P45" s="2" t="s">
        <v>166</v>
      </c>
      <c r="Q45" s="2"/>
    </row>
    <row r="46" spans="1:17">
      <c r="A46" s="2" t="s">
        <v>573</v>
      </c>
      <c r="B46" s="2" t="s">
        <v>1127</v>
      </c>
      <c r="C46" s="2" t="s">
        <v>1214</v>
      </c>
      <c r="F46" s="2" t="s">
        <v>223</v>
      </c>
      <c r="G46" s="2" t="s">
        <v>228</v>
      </c>
      <c r="H46" s="2" t="s">
        <v>247</v>
      </c>
      <c r="J46" s="2" t="s">
        <v>375</v>
      </c>
      <c r="K46" s="2" t="s">
        <v>236</v>
      </c>
      <c r="N46" s="2" t="s">
        <v>47</v>
      </c>
      <c r="Q46" s="2" t="s">
        <v>218</v>
      </c>
    </row>
    <row r="47" spans="1:17">
      <c r="A47" s="2" t="s">
        <v>68</v>
      </c>
      <c r="B47" s="2" t="s">
        <v>1135</v>
      </c>
      <c r="C47" s="2" t="s">
        <v>1212</v>
      </c>
      <c r="D47" s="2" t="s">
        <v>1178</v>
      </c>
      <c r="F47" s="2" t="s">
        <v>69</v>
      </c>
      <c r="G47" s="2" t="s">
        <v>70</v>
      </c>
      <c r="H47" s="2" t="s">
        <v>0</v>
      </c>
      <c r="I47" s="2" t="s">
        <v>0</v>
      </c>
      <c r="J47" s="2" t="s">
        <v>0</v>
      </c>
      <c r="K47" s="2" t="s">
        <v>503</v>
      </c>
      <c r="M47" s="2" t="s">
        <v>71</v>
      </c>
      <c r="O47" s="2" t="s">
        <v>72</v>
      </c>
      <c r="Q47" s="2" t="s">
        <v>617</v>
      </c>
    </row>
    <row r="48" spans="1:17">
      <c r="A48" s="2" t="s">
        <v>574</v>
      </c>
      <c r="B48" s="2" t="s">
        <v>1122</v>
      </c>
      <c r="C48" s="2" t="s">
        <v>1206</v>
      </c>
      <c r="F48" s="2" t="s">
        <v>224</v>
      </c>
      <c r="G48" s="2" t="s">
        <v>229</v>
      </c>
      <c r="H48" s="2" t="s">
        <v>248</v>
      </c>
      <c r="J48" s="2" t="s">
        <v>374</v>
      </c>
      <c r="K48" s="2" t="s">
        <v>237</v>
      </c>
      <c r="N48" s="2" t="s">
        <v>52</v>
      </c>
      <c r="Q48" s="2" t="s">
        <v>217</v>
      </c>
    </row>
    <row r="49" spans="1:17">
      <c r="A49" s="2">
        <v>6</v>
      </c>
      <c r="B49" s="2" t="s">
        <v>1138</v>
      </c>
      <c r="C49" s="2" t="s">
        <v>1211</v>
      </c>
      <c r="D49" s="2" t="s">
        <v>1179</v>
      </c>
      <c r="F49" s="2" t="s">
        <v>64</v>
      </c>
      <c r="G49" s="2" t="s">
        <v>65</v>
      </c>
      <c r="H49" s="2" t="s">
        <v>0</v>
      </c>
      <c r="I49" s="2" t="s">
        <v>0</v>
      </c>
      <c r="J49" s="2" t="s">
        <v>0</v>
      </c>
      <c r="K49" s="2" t="s">
        <v>344</v>
      </c>
      <c r="M49" s="2" t="s">
        <v>66</v>
      </c>
      <c r="O49" s="2" t="s">
        <v>67</v>
      </c>
      <c r="Q49" s="2" t="s">
        <v>616</v>
      </c>
    </row>
    <row r="50" spans="1:17">
      <c r="A50" s="2" t="s">
        <v>350</v>
      </c>
      <c r="B50" s="2" t="s">
        <v>1137</v>
      </c>
      <c r="C50" s="2" t="s">
        <v>1213</v>
      </c>
      <c r="D50" s="2" t="s">
        <v>1180</v>
      </c>
      <c r="F50" s="2" t="s">
        <v>582</v>
      </c>
      <c r="G50" s="2" t="s">
        <v>588</v>
      </c>
      <c r="K50" s="2" t="s">
        <v>598</v>
      </c>
      <c r="O50" s="2" t="s">
        <v>595</v>
      </c>
      <c r="Q50" s="2" t="s">
        <v>615</v>
      </c>
    </row>
    <row r="51" spans="1:17">
      <c r="A51" s="2" t="s">
        <v>167</v>
      </c>
      <c r="B51" s="2" t="s">
        <v>1142</v>
      </c>
      <c r="C51" s="2" t="s">
        <v>1182</v>
      </c>
      <c r="F51" s="2" t="s">
        <v>168</v>
      </c>
      <c r="G51" s="2" t="s">
        <v>169</v>
      </c>
      <c r="H51" s="2" t="s">
        <v>0</v>
      </c>
      <c r="I51" s="2" t="s">
        <v>0</v>
      </c>
      <c r="J51" s="2" t="s">
        <v>260</v>
      </c>
      <c r="K51" s="2" t="s">
        <v>0</v>
      </c>
      <c r="L51" s="2" t="s">
        <v>0</v>
      </c>
      <c r="M51" s="2" t="s">
        <v>170</v>
      </c>
      <c r="N51" s="2" t="s">
        <v>0</v>
      </c>
      <c r="O51" s="2" t="s">
        <v>209</v>
      </c>
      <c r="P51" s="2" t="s">
        <v>171</v>
      </c>
      <c r="Q51" s="2"/>
    </row>
  </sheetData>
  <pageMargins left="0.7" right="0.7" top="0.75" bottom="0.75" header="0.3" footer="0.3"/>
  <pageSetup scale="69" fitToHeight="0" orientation="landscape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0D86-0D61-4F63-AE35-2A5201832F8C}">
  <dimension ref="A1:D33"/>
  <sheetViews>
    <sheetView workbookViewId="0">
      <selection activeCell="F10" sqref="F10"/>
    </sheetView>
  </sheetViews>
  <sheetFormatPr defaultRowHeight="15"/>
  <cols>
    <col min="1" max="1" width="9.85546875" customWidth="1"/>
    <col min="2" max="2" width="16.28515625" customWidth="1"/>
    <col min="3" max="4" width="15.140625" customWidth="1"/>
  </cols>
  <sheetData>
    <row r="1" spans="1:4">
      <c r="A1" t="s">
        <v>1256</v>
      </c>
      <c r="B1" t="s">
        <v>1257</v>
      </c>
      <c r="C1" t="s">
        <v>1258</v>
      </c>
      <c r="D1" t="s">
        <v>1259</v>
      </c>
    </row>
    <row r="2" spans="1:4">
      <c r="A2">
        <v>73</v>
      </c>
      <c r="B2" t="s">
        <v>405</v>
      </c>
    </row>
    <row r="3" spans="1:4">
      <c r="A3">
        <v>38</v>
      </c>
      <c r="B3" t="s">
        <v>403</v>
      </c>
      <c r="C3">
        <v>14</v>
      </c>
      <c r="D3">
        <v>15</v>
      </c>
    </row>
    <row r="4" spans="1:4">
      <c r="A4">
        <v>41</v>
      </c>
      <c r="B4" t="s">
        <v>1232</v>
      </c>
      <c r="C4">
        <v>30</v>
      </c>
      <c r="D4" t="s">
        <v>1262</v>
      </c>
    </row>
    <row r="5" spans="1:4">
      <c r="A5">
        <v>43</v>
      </c>
      <c r="B5" t="s">
        <v>1233</v>
      </c>
      <c r="C5">
        <v>31</v>
      </c>
      <c r="D5" t="s">
        <v>1262</v>
      </c>
    </row>
    <row r="6" spans="1:4">
      <c r="A6">
        <v>18</v>
      </c>
      <c r="B6" t="s">
        <v>1234</v>
      </c>
      <c r="C6" t="s">
        <v>1268</v>
      </c>
      <c r="D6" t="s">
        <v>1262</v>
      </c>
    </row>
    <row r="7" spans="1:4">
      <c r="A7">
        <v>36</v>
      </c>
      <c r="B7" t="s">
        <v>1235</v>
      </c>
      <c r="C7" t="s">
        <v>1263</v>
      </c>
      <c r="D7" t="s">
        <v>1264</v>
      </c>
    </row>
    <row r="8" spans="1:4">
      <c r="A8">
        <v>34</v>
      </c>
      <c r="B8" t="s">
        <v>1236</v>
      </c>
      <c r="C8" t="s">
        <v>1263</v>
      </c>
      <c r="D8" t="s">
        <v>1263</v>
      </c>
    </row>
    <row r="9" spans="1:4">
      <c r="A9">
        <v>32</v>
      </c>
      <c r="B9" t="s">
        <v>1237</v>
      </c>
      <c r="C9" t="s">
        <v>1263</v>
      </c>
      <c r="D9" t="s">
        <v>1263</v>
      </c>
    </row>
    <row r="10" spans="1:4">
      <c r="A10">
        <v>40</v>
      </c>
      <c r="B10" t="s">
        <v>1238</v>
      </c>
    </row>
    <row r="11" spans="1:4">
      <c r="A11">
        <v>47</v>
      </c>
      <c r="B11" t="s">
        <v>1239</v>
      </c>
      <c r="C11">
        <v>4</v>
      </c>
      <c r="D11">
        <v>5</v>
      </c>
    </row>
    <row r="12" spans="1:4">
      <c r="A12">
        <v>49</v>
      </c>
      <c r="B12" t="s">
        <v>1240</v>
      </c>
      <c r="C12">
        <v>10</v>
      </c>
      <c r="D12">
        <v>39</v>
      </c>
    </row>
    <row r="13" spans="1:4">
      <c r="A13">
        <v>51</v>
      </c>
      <c r="B13" t="s">
        <v>1241</v>
      </c>
      <c r="C13">
        <v>3</v>
      </c>
      <c r="D13">
        <v>2</v>
      </c>
    </row>
    <row r="14" spans="1:4">
      <c r="A14">
        <v>53</v>
      </c>
      <c r="B14" t="s">
        <v>1242</v>
      </c>
      <c r="C14">
        <v>40</v>
      </c>
      <c r="D14" t="s">
        <v>1265</v>
      </c>
    </row>
    <row r="15" spans="1:4">
      <c r="A15">
        <v>55</v>
      </c>
      <c r="B15" t="s">
        <v>1243</v>
      </c>
      <c r="C15">
        <v>41</v>
      </c>
      <c r="D15" t="s">
        <v>1266</v>
      </c>
    </row>
    <row r="16" spans="1:4">
      <c r="A16">
        <v>57</v>
      </c>
      <c r="B16" t="s">
        <v>1244</v>
      </c>
      <c r="C16">
        <v>42</v>
      </c>
      <c r="D16">
        <v>9</v>
      </c>
    </row>
    <row r="17" spans="1:4">
      <c r="A17">
        <v>59</v>
      </c>
      <c r="B17" t="s">
        <v>1245</v>
      </c>
      <c r="C17">
        <v>43</v>
      </c>
      <c r="D17">
        <v>37</v>
      </c>
    </row>
    <row r="18" spans="1:4">
      <c r="A18">
        <v>61</v>
      </c>
      <c r="B18" t="s">
        <v>1246</v>
      </c>
      <c r="C18" t="s">
        <v>1267</v>
      </c>
      <c r="D18">
        <v>36</v>
      </c>
    </row>
    <row r="19" spans="1:4">
      <c r="A19">
        <v>1</v>
      </c>
      <c r="B19" t="s">
        <v>379</v>
      </c>
    </row>
    <row r="20" spans="1:4">
      <c r="A20">
        <v>23</v>
      </c>
      <c r="B20" t="s">
        <v>1247</v>
      </c>
      <c r="C20">
        <v>29</v>
      </c>
      <c r="D20">
        <v>29</v>
      </c>
    </row>
    <row r="21" spans="1:4">
      <c r="A21">
        <v>21</v>
      </c>
      <c r="B21" t="s">
        <v>1149</v>
      </c>
      <c r="C21">
        <v>19</v>
      </c>
      <c r="D21">
        <v>19</v>
      </c>
    </row>
    <row r="22" spans="1:4">
      <c r="A22">
        <v>19</v>
      </c>
      <c r="B22" t="s">
        <v>1150</v>
      </c>
      <c r="C22">
        <v>18</v>
      </c>
      <c r="D22">
        <v>18</v>
      </c>
    </row>
    <row r="23" spans="1:4">
      <c r="A23">
        <v>71</v>
      </c>
      <c r="B23" t="s">
        <v>1248</v>
      </c>
    </row>
    <row r="24" spans="1:4">
      <c r="A24">
        <v>16</v>
      </c>
      <c r="B24" t="s">
        <v>1249</v>
      </c>
      <c r="C24" t="s">
        <v>1268</v>
      </c>
      <c r="D24" t="s">
        <v>1262</v>
      </c>
    </row>
    <row r="25" spans="1:4">
      <c r="A25">
        <v>15</v>
      </c>
      <c r="B25" t="s">
        <v>1250</v>
      </c>
      <c r="C25">
        <v>1</v>
      </c>
      <c r="D25">
        <v>17</v>
      </c>
    </row>
    <row r="26" spans="1:4">
      <c r="A26">
        <v>3</v>
      </c>
      <c r="B26" t="s">
        <v>1173</v>
      </c>
      <c r="C26">
        <v>13</v>
      </c>
      <c r="D26">
        <v>13</v>
      </c>
    </row>
    <row r="27" spans="1:4">
      <c r="A27">
        <v>5</v>
      </c>
      <c r="B27" t="s">
        <v>1251</v>
      </c>
      <c r="C27">
        <v>11</v>
      </c>
      <c r="D27">
        <v>11</v>
      </c>
    </row>
    <row r="28" spans="1:4">
      <c r="A28">
        <v>7</v>
      </c>
      <c r="B28" t="s">
        <v>1252</v>
      </c>
      <c r="C28">
        <v>12</v>
      </c>
      <c r="D28">
        <v>12</v>
      </c>
    </row>
    <row r="29" spans="1:4">
      <c r="A29">
        <v>13</v>
      </c>
      <c r="B29" t="s">
        <v>1253</v>
      </c>
      <c r="C29">
        <v>0</v>
      </c>
      <c r="D29">
        <v>16</v>
      </c>
    </row>
    <row r="30" spans="1:4">
      <c r="A30">
        <v>35</v>
      </c>
      <c r="B30" t="s">
        <v>1188</v>
      </c>
      <c r="C30" t="s">
        <v>1260</v>
      </c>
      <c r="D30" t="s">
        <v>1262</v>
      </c>
    </row>
    <row r="31" spans="1:4">
      <c r="A31">
        <v>37</v>
      </c>
      <c r="B31" t="s">
        <v>1189</v>
      </c>
      <c r="C31" t="s">
        <v>1261</v>
      </c>
      <c r="D31" t="s">
        <v>1262</v>
      </c>
    </row>
    <row r="32" spans="1:4">
      <c r="A32">
        <v>70</v>
      </c>
      <c r="B32" t="s">
        <v>1254</v>
      </c>
      <c r="C32" t="s">
        <v>1262</v>
      </c>
      <c r="D32" t="s">
        <v>1262</v>
      </c>
    </row>
    <row r="33" spans="1:2">
      <c r="A33">
        <v>72</v>
      </c>
      <c r="B33" t="s">
        <v>1255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5591-6A0A-4BFC-A9E7-EDF77BD653FF}">
  <sheetPr>
    <pageSetUpPr fitToPage="1"/>
  </sheetPr>
  <dimension ref="A1:AF42"/>
  <sheetViews>
    <sheetView workbookViewId="0">
      <selection activeCell="A12" sqref="A12"/>
    </sheetView>
  </sheetViews>
  <sheetFormatPr defaultRowHeight="15"/>
  <cols>
    <col min="1" max="1" width="7.140625" bestFit="1" customWidth="1"/>
    <col min="2" max="2" width="3.140625" bestFit="1" customWidth="1"/>
    <col min="3" max="3" width="8.7109375" bestFit="1" customWidth="1"/>
    <col min="4" max="4" width="8.42578125" bestFit="1" customWidth="1"/>
    <col min="5" max="5" width="4.42578125" style="2" bestFit="1" customWidth="1"/>
    <col min="6" max="6" width="4.7109375" bestFit="1" customWidth="1"/>
    <col min="7" max="7" width="7.85546875" bestFit="1" customWidth="1"/>
    <col min="8" max="8" width="3" bestFit="1" customWidth="1"/>
    <col min="9" max="9" width="5" bestFit="1" customWidth="1"/>
    <col min="10" max="10" width="3.85546875" bestFit="1" customWidth="1"/>
    <col min="11" max="11" width="5.42578125" bestFit="1" customWidth="1"/>
    <col min="12" max="12" width="4.7109375" bestFit="1" customWidth="1"/>
    <col min="13" max="13" width="5.28515625" bestFit="1" customWidth="1"/>
    <col min="14" max="14" width="7.5703125" bestFit="1" customWidth="1"/>
    <col min="15" max="15" width="3.42578125" bestFit="1" customWidth="1"/>
    <col min="17" max="17" width="13" customWidth="1"/>
    <col min="18" max="18" width="3.42578125" bestFit="1" customWidth="1"/>
    <col min="19" max="19" width="7" bestFit="1" customWidth="1"/>
    <col min="20" max="20" width="5.28515625" bestFit="1" customWidth="1"/>
    <col min="21" max="21" width="4.7109375" bestFit="1" customWidth="1"/>
    <col min="22" max="22" width="5.42578125" bestFit="1" customWidth="1"/>
    <col min="23" max="23" width="3.85546875" bestFit="1" customWidth="1"/>
    <col min="24" max="24" width="5" bestFit="1" customWidth="1"/>
    <col min="25" max="25" width="3" bestFit="1" customWidth="1"/>
    <col min="26" max="26" width="8.7109375" customWidth="1"/>
    <col min="27" max="27" width="5.140625" bestFit="1" customWidth="1"/>
    <col min="28" max="28" width="4.7109375" style="2" bestFit="1" customWidth="1"/>
    <col min="29" max="29" width="8.42578125" bestFit="1" customWidth="1"/>
    <col min="30" max="30" width="11.85546875" bestFit="1" customWidth="1"/>
    <col min="31" max="31" width="3.5703125" bestFit="1" customWidth="1"/>
    <col min="32" max="32" width="7.140625" bestFit="1" customWidth="1"/>
  </cols>
  <sheetData>
    <row r="1" spans="1:32" ht="30.75">
      <c r="A1" t="s">
        <v>1298</v>
      </c>
      <c r="B1" s="31" t="s">
        <v>9</v>
      </c>
      <c r="C1" s="31" t="s">
        <v>376</v>
      </c>
      <c r="D1" s="32" t="s">
        <v>377</v>
      </c>
      <c r="E1" s="90" t="s">
        <v>3</v>
      </c>
      <c r="F1" s="64" t="s">
        <v>9</v>
      </c>
      <c r="G1" s="33" t="s">
        <v>11</v>
      </c>
      <c r="H1" s="61" t="s">
        <v>454</v>
      </c>
      <c r="I1" s="58" t="s">
        <v>5</v>
      </c>
      <c r="J1" s="34" t="s">
        <v>8</v>
      </c>
      <c r="K1" s="35" t="s">
        <v>6</v>
      </c>
      <c r="L1" s="36" t="s">
        <v>4</v>
      </c>
      <c r="M1" s="37" t="s">
        <v>12</v>
      </c>
      <c r="N1" s="38" t="s">
        <v>7</v>
      </c>
      <c r="O1" s="39" t="s">
        <v>378</v>
      </c>
      <c r="P1" s="32"/>
      <c r="Q1" s="32"/>
      <c r="R1" s="39" t="s">
        <v>378</v>
      </c>
      <c r="S1" s="38" t="s">
        <v>7</v>
      </c>
      <c r="T1" s="37" t="s">
        <v>12</v>
      </c>
      <c r="U1" s="36" t="s">
        <v>4</v>
      </c>
      <c r="V1" s="35" t="s">
        <v>6</v>
      </c>
      <c r="W1" s="34" t="s">
        <v>8</v>
      </c>
      <c r="X1" s="58" t="s">
        <v>5</v>
      </c>
      <c r="Y1" s="62" t="s">
        <v>454</v>
      </c>
      <c r="Z1" s="33" t="s">
        <v>11</v>
      </c>
      <c r="AA1" s="64" t="s">
        <v>9</v>
      </c>
      <c r="AB1" s="90" t="s">
        <v>3</v>
      </c>
      <c r="AC1" s="32" t="s">
        <v>377</v>
      </c>
      <c r="AD1" s="31" t="s">
        <v>376</v>
      </c>
      <c r="AE1" s="31" t="s">
        <v>9</v>
      </c>
      <c r="AF1" t="s">
        <v>1298</v>
      </c>
    </row>
    <row r="2" spans="1:32">
      <c r="B2" s="40" t="s">
        <v>442</v>
      </c>
      <c r="C2" s="40" t="s">
        <v>379</v>
      </c>
      <c r="D2" s="40"/>
      <c r="E2" s="95"/>
      <c r="F2" s="40"/>
      <c r="G2" s="40"/>
      <c r="I2" s="40"/>
      <c r="J2" s="40"/>
      <c r="K2" s="40"/>
      <c r="L2" s="40"/>
      <c r="M2" s="197" t="s">
        <v>379</v>
      </c>
      <c r="N2" s="197"/>
      <c r="O2" s="197"/>
      <c r="P2" s="41"/>
      <c r="Q2" s="41"/>
      <c r="R2" s="198" t="s">
        <v>380</v>
      </c>
      <c r="S2" s="198"/>
      <c r="T2" s="198"/>
      <c r="U2" s="198"/>
      <c r="V2" s="40"/>
      <c r="W2" s="40"/>
      <c r="X2" s="40"/>
      <c r="Y2" s="40"/>
      <c r="Z2" s="40"/>
      <c r="AA2" s="40"/>
      <c r="AB2" s="91"/>
      <c r="AC2" s="40"/>
      <c r="AD2" s="40" t="s">
        <v>443</v>
      </c>
      <c r="AE2" s="40"/>
    </row>
    <row r="3" spans="1:32">
      <c r="A3" t="str">
        <f>_xlfn.XLOOKUP(D3, Micromod!$D$2:$D$47,Micromod!$A$2:$A$47,"")</f>
        <v>00</v>
      </c>
      <c r="B3" s="40"/>
      <c r="C3" s="40"/>
      <c r="D3" s="40" t="s">
        <v>17</v>
      </c>
      <c r="E3" s="91" t="s">
        <v>18</v>
      </c>
      <c r="F3" s="40"/>
      <c r="G3" s="40"/>
      <c r="H3" s="60">
        <v>17</v>
      </c>
      <c r="I3" s="40"/>
      <c r="J3" s="57" t="s">
        <v>399</v>
      </c>
      <c r="K3" s="42" t="s">
        <v>410</v>
      </c>
      <c r="L3" s="43" t="s">
        <v>381</v>
      </c>
      <c r="M3" s="40"/>
      <c r="N3" s="121" t="s">
        <v>504</v>
      </c>
      <c r="O3" s="44">
        <v>0</v>
      </c>
      <c r="P3" s="41"/>
      <c r="Q3" s="41"/>
      <c r="R3" s="198" t="s">
        <v>379</v>
      </c>
      <c r="S3" s="198"/>
      <c r="T3" s="198"/>
      <c r="U3" s="198"/>
      <c r="V3" s="40"/>
      <c r="W3" s="40"/>
      <c r="X3" s="40"/>
      <c r="Y3" s="40"/>
      <c r="Z3" s="40"/>
      <c r="AA3" s="40"/>
      <c r="AB3" s="91"/>
      <c r="AC3" s="40"/>
      <c r="AD3" s="40" t="s">
        <v>442</v>
      </c>
      <c r="AE3" s="40" t="s">
        <v>442</v>
      </c>
    </row>
    <row r="4" spans="1:32">
      <c r="A4" t="str">
        <f>_xlfn.XLOOKUP(D4, Micromod!$D$2:$D$47,Micromod!$A$2:$A$47,"")</f>
        <v>01</v>
      </c>
      <c r="B4" s="40"/>
      <c r="C4" s="40"/>
      <c r="D4" s="40" t="s">
        <v>23</v>
      </c>
      <c r="E4" s="91" t="s">
        <v>24</v>
      </c>
      <c r="F4" s="40"/>
      <c r="G4" s="40"/>
      <c r="H4" s="60">
        <v>16</v>
      </c>
      <c r="I4" s="40"/>
      <c r="J4" s="57" t="s">
        <v>401</v>
      </c>
      <c r="K4" s="42" t="s">
        <v>433</v>
      </c>
      <c r="L4" s="43" t="s">
        <v>382</v>
      </c>
      <c r="M4" s="40"/>
      <c r="N4" s="121" t="s">
        <v>505</v>
      </c>
      <c r="O4" s="44">
        <v>1</v>
      </c>
      <c r="P4" s="41"/>
      <c r="Q4" s="41"/>
      <c r="R4" s="198" t="s">
        <v>383</v>
      </c>
      <c r="S4" s="198"/>
      <c r="T4" s="198"/>
      <c r="U4" s="198"/>
      <c r="V4" s="40"/>
      <c r="W4" s="40"/>
      <c r="X4" s="40"/>
      <c r="Y4" s="40"/>
      <c r="Z4" s="40"/>
      <c r="AA4" s="40"/>
      <c r="AB4" s="91"/>
      <c r="AC4" s="40"/>
      <c r="AD4" s="40" t="s">
        <v>444</v>
      </c>
      <c r="AE4" s="40">
        <v>3.3</v>
      </c>
    </row>
    <row r="5" spans="1:32">
      <c r="A5" t="str">
        <f>_xlfn.XLOOKUP(D5, Micromod!$D$2:$D$47,Micromod!$A$2:$A$47,"")</f>
        <v>02</v>
      </c>
      <c r="B5" s="40"/>
      <c r="C5" s="40" t="s">
        <v>449</v>
      </c>
      <c r="D5" s="40" t="s">
        <v>29</v>
      </c>
      <c r="E5" s="91" t="s">
        <v>30</v>
      </c>
      <c r="F5" s="63" t="s">
        <v>455</v>
      </c>
      <c r="G5" s="55" t="s">
        <v>34</v>
      </c>
      <c r="H5" s="60">
        <v>6</v>
      </c>
      <c r="I5" s="40"/>
      <c r="J5" s="40"/>
      <c r="K5" s="40"/>
      <c r="L5" s="40"/>
      <c r="M5" s="40"/>
      <c r="N5" s="45" t="s">
        <v>506</v>
      </c>
      <c r="O5" s="44">
        <v>2</v>
      </c>
      <c r="P5" s="41"/>
      <c r="Q5" s="41"/>
      <c r="R5" s="46">
        <v>23</v>
      </c>
      <c r="S5" s="45" t="s">
        <v>524</v>
      </c>
      <c r="T5" s="47" t="s">
        <v>384</v>
      </c>
      <c r="U5" s="40"/>
      <c r="V5" s="40"/>
      <c r="W5" s="57" t="s">
        <v>381</v>
      </c>
      <c r="X5" s="40"/>
      <c r="Y5" s="40"/>
      <c r="Z5" s="55" t="s">
        <v>149</v>
      </c>
      <c r="AA5" s="65" t="s">
        <v>463</v>
      </c>
      <c r="AB5" s="91">
        <v>1.25</v>
      </c>
      <c r="AC5" s="40" t="s">
        <v>145</v>
      </c>
      <c r="AD5" s="163" t="s">
        <v>569</v>
      </c>
      <c r="AE5" s="40" t="s">
        <v>441</v>
      </c>
      <c r="AF5" t="str">
        <f>_xlfn.XLOOKUP(AC5, Micromod!$D$2:$D$47,Micromod!$A$2:$A$47,"")</f>
        <v>23/A9</v>
      </c>
    </row>
    <row r="6" spans="1:32">
      <c r="A6" t="str">
        <f>_xlfn.XLOOKUP(D6, Micromod!$D$2:$D$47,Micromod!$A$2:$A$47,"")</f>
        <v>03</v>
      </c>
      <c r="B6" s="40" t="s">
        <v>447</v>
      </c>
      <c r="C6" s="40"/>
      <c r="D6" s="40" t="s">
        <v>36</v>
      </c>
      <c r="E6" s="92" t="s">
        <v>37</v>
      </c>
      <c r="F6" s="65" t="s">
        <v>456</v>
      </c>
      <c r="G6" s="55" t="s">
        <v>41</v>
      </c>
      <c r="H6" s="60">
        <v>7</v>
      </c>
      <c r="I6" s="40"/>
      <c r="J6" s="40"/>
      <c r="K6" s="40"/>
      <c r="L6" s="40"/>
      <c r="M6" s="40"/>
      <c r="N6" s="45" t="s">
        <v>507</v>
      </c>
      <c r="O6" s="44">
        <v>3</v>
      </c>
      <c r="P6" s="41"/>
      <c r="Q6" s="41"/>
      <c r="R6" s="46">
        <v>22</v>
      </c>
      <c r="S6" s="45" t="s">
        <v>525</v>
      </c>
      <c r="T6" s="47" t="s">
        <v>386</v>
      </c>
      <c r="U6" s="40"/>
      <c r="V6" s="40"/>
      <c r="W6" s="57" t="s">
        <v>382</v>
      </c>
      <c r="X6" s="40"/>
      <c r="Y6" s="40"/>
      <c r="Z6" s="56">
        <v>0.13055555555555556</v>
      </c>
      <c r="AA6" s="40"/>
      <c r="AB6" s="91">
        <v>1.24</v>
      </c>
      <c r="AC6" s="40" t="s">
        <v>140</v>
      </c>
      <c r="AD6" s="163" t="s">
        <v>568</v>
      </c>
      <c r="AE6" s="40"/>
      <c r="AF6" t="str">
        <f>_xlfn.XLOOKUP(AC6, Micromod!$D$2:$D$47,Micromod!$A$2:$A$47,"")</f>
        <v>22/A8</v>
      </c>
    </row>
    <row r="7" spans="1:32">
      <c r="A7" t="str">
        <f>_xlfn.XLOOKUP(D7, Micromod!$D$2:$D$47,Micromod!$A$2:$A$47,"")</f>
        <v>04</v>
      </c>
      <c r="B7" s="40" t="s">
        <v>441</v>
      </c>
      <c r="C7" s="40"/>
      <c r="D7" s="40" t="s">
        <v>43</v>
      </c>
      <c r="E7" s="92" t="s">
        <v>44</v>
      </c>
      <c r="F7" s="65" t="s">
        <v>457</v>
      </c>
      <c r="G7" s="55" t="s">
        <v>48</v>
      </c>
      <c r="H7" s="60">
        <v>8</v>
      </c>
      <c r="I7" s="40"/>
      <c r="J7" s="40"/>
      <c r="K7" s="40"/>
      <c r="L7" s="40"/>
      <c r="M7" s="40"/>
      <c r="N7" s="45" t="s">
        <v>508</v>
      </c>
      <c r="O7" s="44">
        <v>4</v>
      </c>
      <c r="P7" s="41"/>
      <c r="Q7" s="41"/>
      <c r="R7" s="46">
        <v>21</v>
      </c>
      <c r="T7" s="47" t="s">
        <v>388</v>
      </c>
      <c r="U7" s="43" t="s">
        <v>412</v>
      </c>
      <c r="V7" s="40"/>
      <c r="W7" s="40"/>
      <c r="X7" s="40"/>
      <c r="Y7" s="40"/>
      <c r="Z7" s="56">
        <v>0.13263888888888889</v>
      </c>
      <c r="AA7" s="63" t="s">
        <v>464</v>
      </c>
      <c r="AB7" s="91">
        <v>1.27</v>
      </c>
      <c r="AC7" s="40" t="s">
        <v>135</v>
      </c>
      <c r="AD7" s="163" t="s">
        <v>545</v>
      </c>
      <c r="AE7" s="40" t="s">
        <v>441</v>
      </c>
      <c r="AF7" t="str">
        <f>_xlfn.XLOOKUP(AC7, Micromod!$D$2:$D$47,Micromod!$A$2:$A$47,"")</f>
        <v>21/A7</v>
      </c>
    </row>
    <row r="8" spans="1:32">
      <c r="A8" t="str">
        <f>_xlfn.XLOOKUP(D8, Micromod!$D$2:$D$47,Micromod!$A$2:$A$47,"")</f>
        <v>05</v>
      </c>
      <c r="B8" s="40" t="s">
        <v>441</v>
      </c>
      <c r="C8" s="40" t="s">
        <v>450</v>
      </c>
      <c r="D8" s="40" t="s">
        <v>193</v>
      </c>
      <c r="E8" s="91" t="s">
        <v>194</v>
      </c>
      <c r="F8" s="63" t="s">
        <v>458</v>
      </c>
      <c r="G8" s="55" t="s">
        <v>197</v>
      </c>
      <c r="H8" s="60">
        <v>17</v>
      </c>
      <c r="I8" s="40"/>
      <c r="J8" s="40"/>
      <c r="K8" s="40"/>
      <c r="L8" s="50"/>
      <c r="M8" s="40"/>
      <c r="N8" s="45" t="s">
        <v>509</v>
      </c>
      <c r="O8" s="44">
        <v>5</v>
      </c>
      <c r="P8" s="41"/>
      <c r="Q8" s="41"/>
      <c r="R8" s="46">
        <v>20</v>
      </c>
      <c r="T8" s="47" t="s">
        <v>390</v>
      </c>
      <c r="U8" s="51" t="s">
        <v>415</v>
      </c>
      <c r="V8" s="40"/>
      <c r="W8" s="40"/>
      <c r="X8" s="40"/>
      <c r="Y8" s="40"/>
      <c r="Z8" s="56">
        <v>0.13194444444444445</v>
      </c>
      <c r="AA8" s="63" t="s">
        <v>465</v>
      </c>
      <c r="AB8" s="91">
        <v>1.26</v>
      </c>
      <c r="AC8" s="40" t="s">
        <v>130</v>
      </c>
      <c r="AD8" s="163" t="s">
        <v>546</v>
      </c>
      <c r="AE8" s="40" t="s">
        <v>441</v>
      </c>
      <c r="AF8" t="str">
        <f>_xlfn.XLOOKUP(AC8, Micromod!$D$2:$D$47,Micromod!$A$2:$A$47,"")</f>
        <v>20/A6</v>
      </c>
    </row>
    <row r="9" spans="1:32">
      <c r="A9" t="str">
        <f>_xlfn.XLOOKUP(D9, Micromod!$D$2:$D$47,Micromod!$A$2:$A$47,"")</f>
        <v>06</v>
      </c>
      <c r="B9" s="40"/>
      <c r="C9" s="40" t="s">
        <v>451</v>
      </c>
      <c r="D9" s="40" t="s">
        <v>64</v>
      </c>
      <c r="E9" s="91" t="s">
        <v>65</v>
      </c>
      <c r="F9" s="63" t="s">
        <v>459</v>
      </c>
      <c r="G9" s="55" t="s">
        <v>67</v>
      </c>
      <c r="H9" s="40"/>
      <c r="I9" s="40"/>
      <c r="J9" s="40"/>
      <c r="K9" s="40"/>
      <c r="L9" s="40"/>
      <c r="M9" s="40"/>
      <c r="N9" s="45" t="s">
        <v>510</v>
      </c>
      <c r="O9" s="44">
        <v>6</v>
      </c>
      <c r="P9" s="41"/>
      <c r="Q9" s="41"/>
      <c r="R9" s="46">
        <v>19</v>
      </c>
      <c r="S9" s="45" t="s">
        <v>527</v>
      </c>
      <c r="T9" s="47" t="s">
        <v>391</v>
      </c>
      <c r="U9" s="51" t="s">
        <v>483</v>
      </c>
      <c r="V9" s="40"/>
      <c r="W9" s="40"/>
      <c r="X9" s="59" t="s">
        <v>392</v>
      </c>
      <c r="Y9" s="40"/>
      <c r="Z9" s="56">
        <v>0.125</v>
      </c>
      <c r="AA9" s="40"/>
      <c r="AB9" s="92">
        <v>1.1599999999999999</v>
      </c>
      <c r="AC9" s="40" t="s">
        <v>125</v>
      </c>
      <c r="AD9" s="40" t="s">
        <v>449</v>
      </c>
      <c r="AE9" s="40" t="s">
        <v>445</v>
      </c>
      <c r="AF9" t="str">
        <f>_xlfn.XLOOKUP(AC9, Micromod!$D$2:$D$47,Micromod!$A$2:$A$47,"")</f>
        <v>19/A5</v>
      </c>
    </row>
    <row r="10" spans="1:32">
      <c r="A10" t="str">
        <f>_xlfn.XLOOKUP(D10, Micromod!$D$2:$D$47,Micromod!$A$2:$A$47,"")</f>
        <v>07</v>
      </c>
      <c r="B10" s="40"/>
      <c r="C10" s="40" t="s">
        <v>452</v>
      </c>
      <c r="D10" s="40" t="s">
        <v>54</v>
      </c>
      <c r="E10" s="91" t="s">
        <v>55</v>
      </c>
      <c r="F10" s="63" t="s">
        <v>460</v>
      </c>
      <c r="G10" s="55" t="s">
        <v>233</v>
      </c>
      <c r="H10" s="60">
        <v>15</v>
      </c>
      <c r="I10" s="40"/>
      <c r="J10" s="40"/>
      <c r="K10" s="40"/>
      <c r="L10" s="43" t="s">
        <v>399</v>
      </c>
      <c r="M10" s="40"/>
      <c r="N10" s="45" t="s">
        <v>511</v>
      </c>
      <c r="O10" s="44">
        <v>7</v>
      </c>
      <c r="P10" s="41"/>
      <c r="Q10" s="41"/>
      <c r="R10" s="46">
        <v>18</v>
      </c>
      <c r="S10" s="45" t="s">
        <v>528</v>
      </c>
      <c r="T10" s="47" t="s">
        <v>394</v>
      </c>
      <c r="U10" s="40"/>
      <c r="V10" s="40"/>
      <c r="W10" s="40"/>
      <c r="X10" s="59" t="s">
        <v>395</v>
      </c>
      <c r="Y10" s="40"/>
      <c r="Z10" s="56">
        <v>0.12569444444444444</v>
      </c>
      <c r="AA10" s="40"/>
      <c r="AB10" s="92">
        <v>1.17</v>
      </c>
      <c r="AC10" s="40" t="s">
        <v>120</v>
      </c>
      <c r="AD10" s="40" t="s">
        <v>449</v>
      </c>
      <c r="AE10" s="40" t="s">
        <v>445</v>
      </c>
      <c r="AF10" t="str">
        <f>_xlfn.XLOOKUP(AC10, Micromod!$D$2:$D$47,Micromod!$A$2:$A$47,"")</f>
        <v>18/A4</v>
      </c>
    </row>
    <row r="11" spans="1:32">
      <c r="A11" t="str">
        <f>_xlfn.XLOOKUP(D11, Micromod!$D$2:$D$47,Micromod!$A$2:$A$47,"")</f>
        <v>08</v>
      </c>
      <c r="B11" s="40"/>
      <c r="C11" s="40"/>
      <c r="D11" s="40" t="s">
        <v>59</v>
      </c>
      <c r="E11" s="91" t="s">
        <v>60</v>
      </c>
      <c r="F11" s="63" t="s">
        <v>461</v>
      </c>
      <c r="G11" s="55" t="s">
        <v>232</v>
      </c>
      <c r="H11" s="60">
        <v>14</v>
      </c>
      <c r="I11" s="59"/>
      <c r="J11" s="40"/>
      <c r="K11" s="40"/>
      <c r="L11" s="43" t="s">
        <v>401</v>
      </c>
      <c r="M11" s="40"/>
      <c r="N11" s="45" t="s">
        <v>512</v>
      </c>
      <c r="O11" s="44">
        <v>8</v>
      </c>
      <c r="P11" s="41"/>
      <c r="Q11" s="41"/>
      <c r="R11" s="46">
        <v>17</v>
      </c>
      <c r="T11" s="47" t="s">
        <v>397</v>
      </c>
      <c r="U11" s="51" t="s">
        <v>414</v>
      </c>
      <c r="V11" s="40"/>
      <c r="W11" s="40"/>
      <c r="X11" s="59" t="s">
        <v>407</v>
      </c>
      <c r="Y11" s="40"/>
      <c r="Z11" s="56">
        <v>0.12916666666666668</v>
      </c>
      <c r="AA11" s="40"/>
      <c r="AB11" s="92">
        <v>1.22</v>
      </c>
      <c r="AC11" s="40" t="s">
        <v>115</v>
      </c>
      <c r="AD11" s="163" t="s">
        <v>548</v>
      </c>
      <c r="AE11" s="40"/>
      <c r="AF11" t="str">
        <f>_xlfn.XLOOKUP(AC11, Micromod!$D$2:$D$47,Micromod!$A$2:$A$47,"")</f>
        <v>17/A3</v>
      </c>
    </row>
    <row r="12" spans="1:32">
      <c r="A12" t="str">
        <f>_xlfn.XLOOKUP(D12, Micromod!$D$2:$D$47,Micromod!$A$2:$A$47,"")</f>
        <v>09</v>
      </c>
      <c r="B12" s="40"/>
      <c r="C12" s="40"/>
      <c r="D12" s="40" t="s">
        <v>69</v>
      </c>
      <c r="E12" s="91" t="s">
        <v>70</v>
      </c>
      <c r="F12" s="65" t="s">
        <v>462</v>
      </c>
      <c r="G12" s="55" t="s">
        <v>72</v>
      </c>
      <c r="H12" s="40"/>
      <c r="I12" s="40"/>
      <c r="J12" s="40"/>
      <c r="K12" s="40"/>
      <c r="L12" s="50"/>
      <c r="M12" s="40"/>
      <c r="N12" s="45" t="s">
        <v>513</v>
      </c>
      <c r="O12" s="44">
        <v>9</v>
      </c>
      <c r="P12" s="41"/>
      <c r="Q12" s="41"/>
      <c r="R12" s="46">
        <v>16</v>
      </c>
      <c r="T12" s="47" t="s">
        <v>400</v>
      </c>
      <c r="U12" s="51" t="s">
        <v>411</v>
      </c>
      <c r="V12" s="40"/>
      <c r="W12" s="40"/>
      <c r="X12" s="59" t="s">
        <v>409</v>
      </c>
      <c r="Y12" s="40"/>
      <c r="Z12" s="56">
        <v>0.12986111111111112</v>
      </c>
      <c r="AA12" s="40"/>
      <c r="AB12" s="92">
        <v>1.23</v>
      </c>
      <c r="AC12" s="40" t="s">
        <v>110</v>
      </c>
      <c r="AD12" s="163" t="s">
        <v>549</v>
      </c>
      <c r="AE12" s="40"/>
      <c r="AF12" t="str">
        <f>_xlfn.XLOOKUP(AC12, Micromod!$D$2:$D$47,Micromod!$A$2:$A$47,"")</f>
        <v>16/A2</v>
      </c>
    </row>
    <row r="13" spans="1:32">
      <c r="A13" t="str">
        <f>_xlfn.XLOOKUP(D13, Micromod!$D$2:$D$47,Micromod!$A$2:$A$47,"")</f>
        <v>10</v>
      </c>
      <c r="B13" s="40" t="s">
        <v>449</v>
      </c>
      <c r="C13" s="40"/>
      <c r="D13" s="40" t="s">
        <v>74</v>
      </c>
      <c r="E13" s="91" t="s">
        <v>75</v>
      </c>
      <c r="F13" s="63" t="s">
        <v>470</v>
      </c>
      <c r="G13" s="55" t="s">
        <v>78</v>
      </c>
      <c r="H13" s="40"/>
      <c r="I13" s="40"/>
      <c r="J13" s="40"/>
      <c r="K13" s="42" t="s">
        <v>398</v>
      </c>
      <c r="L13" s="50"/>
      <c r="M13" s="40"/>
      <c r="N13" s="45" t="s">
        <v>514</v>
      </c>
      <c r="O13" s="44">
        <v>10</v>
      </c>
      <c r="P13" s="41"/>
      <c r="Q13" s="41"/>
      <c r="R13" s="46">
        <v>15</v>
      </c>
      <c r="S13" s="45" t="s">
        <v>529</v>
      </c>
      <c r="T13" s="47" t="s">
        <v>402</v>
      </c>
      <c r="U13" s="51" t="s">
        <v>393</v>
      </c>
      <c r="V13" s="40"/>
      <c r="W13" s="40"/>
      <c r="X13" s="40"/>
      <c r="Y13" s="40"/>
      <c r="Z13" s="56">
        <v>0.12708333333333333</v>
      </c>
      <c r="AA13" s="48" t="s">
        <v>467</v>
      </c>
      <c r="AB13" s="91">
        <v>1.19</v>
      </c>
      <c r="AC13" s="40" t="s">
        <v>104</v>
      </c>
      <c r="AD13" s="40"/>
      <c r="AE13" s="40" t="s">
        <v>446</v>
      </c>
      <c r="AF13" t="str">
        <f>_xlfn.XLOOKUP(AC13, Micromod!$D$2:$D$47,Micromod!$A$2:$A$47,"")</f>
        <v>15/A1</v>
      </c>
    </row>
    <row r="14" spans="1:32">
      <c r="A14" t="str">
        <f>_xlfn.XLOOKUP(D14, Micromod!$D$2:$D$47,Micromod!$A$2:$A$47,"")</f>
        <v>11</v>
      </c>
      <c r="B14" s="40" t="s">
        <v>448</v>
      </c>
      <c r="C14" s="40" t="s">
        <v>453</v>
      </c>
      <c r="D14" s="40" t="s">
        <v>80</v>
      </c>
      <c r="E14" s="91" t="s">
        <v>81</v>
      </c>
      <c r="F14" s="40"/>
      <c r="G14" s="55" t="s">
        <v>84</v>
      </c>
      <c r="H14" s="40"/>
      <c r="I14" s="40"/>
      <c r="J14" s="57" t="s">
        <v>382</v>
      </c>
      <c r="K14" s="42" t="s">
        <v>431</v>
      </c>
      <c r="L14" s="40"/>
      <c r="M14" s="40"/>
      <c r="N14" s="45" t="s">
        <v>515</v>
      </c>
      <c r="O14" s="44">
        <v>11</v>
      </c>
      <c r="P14" s="41"/>
      <c r="Q14" s="41"/>
      <c r="R14" s="46">
        <v>14</v>
      </c>
      <c r="S14" s="45" t="s">
        <v>530</v>
      </c>
      <c r="T14" s="47" t="s">
        <v>403</v>
      </c>
      <c r="U14" s="51" t="s">
        <v>396</v>
      </c>
      <c r="V14" s="40"/>
      <c r="W14" s="40"/>
      <c r="X14" s="40"/>
      <c r="Y14" s="40"/>
      <c r="Z14" s="56">
        <v>0.12638888888888888</v>
      </c>
      <c r="AA14" s="63" t="s">
        <v>466</v>
      </c>
      <c r="AB14" s="91">
        <v>1.18</v>
      </c>
      <c r="AC14" s="40" t="s">
        <v>98</v>
      </c>
      <c r="AD14" s="40"/>
      <c r="AE14" s="40"/>
      <c r="AF14" t="str">
        <f>_xlfn.XLOOKUP(AC14, Micromod!$D$2:$D$47,Micromod!$A$2:$A$47,"")</f>
        <v>14/A0</v>
      </c>
    </row>
    <row r="15" spans="1:32">
      <c r="A15" t="str">
        <f>_xlfn.XLOOKUP(D15, Micromod!$D$2:$D$47,Micromod!$A$2:$A$47,"")</f>
        <v>12</v>
      </c>
      <c r="B15" s="40" t="s">
        <v>448</v>
      </c>
      <c r="C15" s="40" t="s">
        <v>447</v>
      </c>
      <c r="D15" s="40" t="s">
        <v>86</v>
      </c>
      <c r="E15" s="91" t="s">
        <v>87</v>
      </c>
      <c r="F15" s="63" t="s">
        <v>471</v>
      </c>
      <c r="G15" s="55" t="s">
        <v>90</v>
      </c>
      <c r="H15" s="40"/>
      <c r="I15" s="40"/>
      <c r="J15" s="40"/>
      <c r="K15" s="42" t="s">
        <v>432</v>
      </c>
      <c r="L15" s="40"/>
      <c r="M15" s="40"/>
      <c r="N15" s="45" t="s">
        <v>516</v>
      </c>
      <c r="O15" s="44">
        <v>12</v>
      </c>
      <c r="P15" s="41"/>
      <c r="Q15" s="41"/>
      <c r="R15" s="46">
        <v>13</v>
      </c>
      <c r="S15" s="45" t="s">
        <v>531</v>
      </c>
      <c r="T15" s="89" t="s">
        <v>499</v>
      </c>
      <c r="U15" s="40"/>
      <c r="V15" s="42" t="s">
        <v>404</v>
      </c>
      <c r="W15" s="57" t="s">
        <v>389</v>
      </c>
      <c r="X15" s="40"/>
      <c r="Y15" s="40"/>
      <c r="Z15" s="56">
        <v>8.5416666666666655E-2</v>
      </c>
      <c r="AA15" s="40"/>
      <c r="AB15" s="91">
        <v>2.2999999999999998</v>
      </c>
      <c r="AC15" s="40" t="s">
        <v>92</v>
      </c>
      <c r="AD15" s="40" t="s">
        <v>447</v>
      </c>
      <c r="AE15" s="40" t="s">
        <v>448</v>
      </c>
      <c r="AF15" t="str">
        <f>_xlfn.XLOOKUP(AC15, Micromod!$D$2:$D$47,Micromod!$A$2:$A$47,"")</f>
        <v>13</v>
      </c>
    </row>
    <row r="16" spans="1:32">
      <c r="A16" t="str">
        <f>_xlfn.XLOOKUP(D16, Micromod!$D$2:$D$47,Micromod!$A$2:$A$47,"")</f>
        <v/>
      </c>
      <c r="B16" s="40"/>
      <c r="C16" s="40"/>
      <c r="D16" s="40"/>
      <c r="E16" s="91"/>
      <c r="F16" s="40"/>
      <c r="G16" s="40"/>
      <c r="H16" s="40"/>
      <c r="I16" s="40"/>
      <c r="J16" s="40"/>
      <c r="K16" s="40"/>
      <c r="L16" s="40"/>
      <c r="M16" s="197" t="s">
        <v>405</v>
      </c>
      <c r="N16" s="197"/>
      <c r="O16" s="197"/>
      <c r="P16" s="41"/>
      <c r="Q16" s="41"/>
      <c r="R16" s="198" t="s">
        <v>379</v>
      </c>
      <c r="S16" s="198"/>
      <c r="T16" s="198"/>
      <c r="U16" s="198"/>
      <c r="V16" s="40"/>
      <c r="W16" s="40"/>
      <c r="X16" s="40"/>
      <c r="Y16" s="40"/>
      <c r="Z16" s="54"/>
      <c r="AA16" s="40"/>
      <c r="AB16" s="91"/>
      <c r="AC16" s="40"/>
      <c r="AD16" s="40"/>
      <c r="AE16" s="40"/>
      <c r="AF16" t="str">
        <f>_xlfn.XLOOKUP(AC16, Micromod!$D$2:$D$47,Micromod!$A$2:$A$47,"")</f>
        <v/>
      </c>
    </row>
    <row r="17" spans="1:32">
      <c r="A17" t="str">
        <f>_xlfn.XLOOKUP(D17, Micromod!$D$2:$D$47,Micromod!$A$2:$A$47,"")</f>
        <v>24/A10</v>
      </c>
      <c r="B17" s="40"/>
      <c r="C17" s="40"/>
      <c r="D17" s="40" t="s">
        <v>152</v>
      </c>
      <c r="E17" s="92" t="s">
        <v>153</v>
      </c>
      <c r="F17" s="40"/>
      <c r="G17" s="40"/>
      <c r="H17" s="40"/>
      <c r="I17" s="59" t="s">
        <v>385</v>
      </c>
      <c r="J17" s="40"/>
      <c r="K17" s="40"/>
      <c r="L17" s="51" t="s">
        <v>416</v>
      </c>
      <c r="M17" s="47" t="s">
        <v>435</v>
      </c>
      <c r="N17" s="45" t="s">
        <v>518</v>
      </c>
      <c r="O17" s="44">
        <v>24</v>
      </c>
      <c r="P17" s="41"/>
      <c r="Q17" s="41"/>
      <c r="R17" s="52">
        <v>41</v>
      </c>
      <c r="S17" s="53" t="s">
        <v>572</v>
      </c>
      <c r="T17" s="47" t="s">
        <v>406</v>
      </c>
      <c r="U17" s="40"/>
      <c r="V17" s="40"/>
      <c r="W17" s="40"/>
      <c r="X17" s="40"/>
      <c r="Y17" s="40"/>
      <c r="Z17" s="56" t="s">
        <v>313</v>
      </c>
      <c r="AA17" s="40"/>
      <c r="AB17" s="91">
        <v>1.21</v>
      </c>
      <c r="AC17" s="40" t="s">
        <v>429</v>
      </c>
      <c r="AD17" s="163" t="s">
        <v>550</v>
      </c>
      <c r="AE17" s="40"/>
      <c r="AF17" t="str">
        <f>_xlfn.XLOOKUP(AC17, Micromod!$D$2:$D$47,Micromod!$A$2:$A$47,"")</f>
        <v/>
      </c>
    </row>
    <row r="18" spans="1:32">
      <c r="A18" t="str">
        <f>_xlfn.XLOOKUP(D18, Micromod!$D$2:$D$47,Micromod!$A$2:$A$47,"")</f>
        <v>25/A11</v>
      </c>
      <c r="B18" s="40"/>
      <c r="C18" s="40"/>
      <c r="D18" s="40" t="s">
        <v>157</v>
      </c>
      <c r="E18" s="92" t="s">
        <v>158</v>
      </c>
      <c r="F18" s="40"/>
      <c r="G18" s="40"/>
      <c r="H18" s="40"/>
      <c r="I18" s="59" t="s">
        <v>387</v>
      </c>
      <c r="J18" s="40"/>
      <c r="K18" s="40"/>
      <c r="L18" s="51" t="s">
        <v>417</v>
      </c>
      <c r="M18" s="47" t="s">
        <v>436</v>
      </c>
      <c r="N18" s="45" t="s">
        <v>517</v>
      </c>
      <c r="O18" s="44">
        <v>25</v>
      </c>
      <c r="P18" s="41"/>
      <c r="Q18" s="41"/>
      <c r="R18" s="52">
        <v>40</v>
      </c>
      <c r="S18" s="53" t="s">
        <v>571</v>
      </c>
      <c r="T18" s="47" t="s">
        <v>408</v>
      </c>
      <c r="U18" s="40"/>
      <c r="V18" s="40"/>
      <c r="W18" s="40"/>
      <c r="X18" s="40"/>
      <c r="Y18" s="40"/>
      <c r="Z18" s="56" t="s">
        <v>314</v>
      </c>
      <c r="AA18" s="40"/>
      <c r="AB18" s="91" t="s">
        <v>498</v>
      </c>
      <c r="AC18" s="40" t="s">
        <v>428</v>
      </c>
      <c r="AD18" s="163" t="s">
        <v>547</v>
      </c>
      <c r="AE18" s="40"/>
      <c r="AF18" t="str">
        <f>_xlfn.XLOOKUP(AC18, Micromod!$D$2:$D$47,Micromod!$A$2:$A$47,"")</f>
        <v/>
      </c>
    </row>
    <row r="19" spans="1:32">
      <c r="A19" t="str">
        <f>_xlfn.XLOOKUP(D19, Micromod!$D$2:$D$47,Micromod!$A$2:$A$47,"")</f>
        <v>26/A12</v>
      </c>
      <c r="B19" s="40"/>
      <c r="C19" s="163" t="s">
        <v>542</v>
      </c>
      <c r="D19" s="40" t="s">
        <v>163</v>
      </c>
      <c r="E19" s="92" t="s">
        <v>164</v>
      </c>
      <c r="F19" s="40"/>
      <c r="G19" s="55" t="s">
        <v>208</v>
      </c>
      <c r="H19" s="40"/>
      <c r="I19" s="40"/>
      <c r="J19" s="40"/>
      <c r="K19" s="42" t="s">
        <v>434</v>
      </c>
      <c r="M19" s="47" t="s">
        <v>437</v>
      </c>
      <c r="N19" s="40"/>
      <c r="O19" s="44">
        <v>26</v>
      </c>
      <c r="P19" s="41"/>
      <c r="Q19" s="41"/>
      <c r="R19" s="46">
        <v>39</v>
      </c>
      <c r="S19" s="53"/>
      <c r="T19" s="47" t="s">
        <v>439</v>
      </c>
      <c r="U19" s="40"/>
      <c r="V19" s="67" t="s">
        <v>433</v>
      </c>
      <c r="W19" s="40"/>
      <c r="X19" s="40"/>
      <c r="Y19" s="40"/>
      <c r="Z19" s="55" t="s">
        <v>316</v>
      </c>
      <c r="AA19" s="40"/>
      <c r="AB19" s="92">
        <v>1.29</v>
      </c>
      <c r="AC19" s="40" t="s">
        <v>427</v>
      </c>
      <c r="AD19" s="163" t="s">
        <v>543</v>
      </c>
      <c r="AE19" s="40"/>
      <c r="AF19" t="str">
        <f>_xlfn.XLOOKUP(AC19, Micromod!$D$2:$D$47,Micromod!$A$2:$A$47,"")</f>
        <v/>
      </c>
    </row>
    <row r="20" spans="1:32">
      <c r="A20" t="str">
        <f>_xlfn.XLOOKUP(D20, Micromod!$D$2:$D$47,Micromod!$A$2:$A$47,"")</f>
        <v>27/A13</v>
      </c>
      <c r="B20" s="40"/>
      <c r="C20" s="163" t="s">
        <v>541</v>
      </c>
      <c r="D20" s="40" t="s">
        <v>168</v>
      </c>
      <c r="E20" s="92" t="s">
        <v>169</v>
      </c>
      <c r="F20" s="40"/>
      <c r="G20" s="55" t="s">
        <v>209</v>
      </c>
      <c r="H20" s="40"/>
      <c r="I20" s="40"/>
      <c r="J20" s="40"/>
      <c r="K20" s="42" t="s">
        <v>413</v>
      </c>
      <c r="L20" s="40"/>
      <c r="M20" s="47" t="s">
        <v>438</v>
      </c>
      <c r="N20" s="40"/>
      <c r="O20" s="44">
        <v>27</v>
      </c>
      <c r="P20" s="41"/>
      <c r="Q20" s="41"/>
      <c r="R20" s="46">
        <v>38</v>
      </c>
      <c r="S20" s="53"/>
      <c r="T20" s="47" t="s">
        <v>440</v>
      </c>
      <c r="U20" s="40"/>
      <c r="V20" s="67" t="s">
        <v>480</v>
      </c>
      <c r="W20" s="40"/>
      <c r="X20" s="40"/>
      <c r="Z20" s="55" t="s">
        <v>315</v>
      </c>
      <c r="AA20" s="40"/>
      <c r="AB20" s="91">
        <v>1.28</v>
      </c>
      <c r="AC20" s="40" t="s">
        <v>426</v>
      </c>
      <c r="AD20" s="163" t="s">
        <v>544</v>
      </c>
      <c r="AE20" s="40"/>
      <c r="AF20" t="str">
        <f>_xlfn.XLOOKUP(AC20, Micromod!$D$2:$D$47,Micromod!$A$2:$A$47,"")</f>
        <v/>
      </c>
    </row>
    <row r="21" spans="1:32">
      <c r="A21" t="str">
        <f>_xlfn.XLOOKUP(D21, Micromod!$D$2:$D$47,Micromod!$A$2:$A$47,"")</f>
        <v>28</v>
      </c>
      <c r="B21" s="40"/>
      <c r="C21" s="40"/>
      <c r="D21" s="40" t="s">
        <v>173</v>
      </c>
      <c r="E21" s="92" t="s">
        <v>174</v>
      </c>
      <c r="F21" s="40"/>
      <c r="G21" s="40"/>
      <c r="H21" s="40"/>
      <c r="I21" s="40"/>
      <c r="J21" s="40"/>
      <c r="K21" s="40"/>
      <c r="L21" s="51" t="s">
        <v>418</v>
      </c>
      <c r="M21" s="40"/>
      <c r="N21" s="45" t="s">
        <v>519</v>
      </c>
      <c r="O21" s="44">
        <v>28</v>
      </c>
      <c r="P21" s="41"/>
      <c r="Q21" s="41"/>
      <c r="R21" s="46">
        <v>37</v>
      </c>
      <c r="S21" s="45" t="s">
        <v>533</v>
      </c>
      <c r="T21" s="40"/>
      <c r="U21" s="40"/>
      <c r="V21" s="66" t="s">
        <v>479</v>
      </c>
      <c r="W21" s="40"/>
      <c r="X21" s="40"/>
      <c r="Y21" s="60">
        <v>17</v>
      </c>
      <c r="Z21" s="55" t="s">
        <v>310</v>
      </c>
      <c r="AA21" s="40"/>
      <c r="AB21" s="91">
        <v>2.19</v>
      </c>
      <c r="AC21" s="40" t="s">
        <v>425</v>
      </c>
      <c r="AD21" s="40"/>
      <c r="AE21" s="40"/>
      <c r="AF21" t="str">
        <f>_xlfn.XLOOKUP(AC21, Micromod!$D$2:$D$47,Micromod!$A$2:$A$47,"")</f>
        <v/>
      </c>
    </row>
    <row r="22" spans="1:32">
      <c r="A22" t="str">
        <f>_xlfn.XLOOKUP(D22, Micromod!$D$2:$D$47,Micromod!$A$2:$A$47,"")</f>
        <v>29</v>
      </c>
      <c r="B22" s="40"/>
      <c r="C22" s="40"/>
      <c r="D22" s="40" t="s">
        <v>177</v>
      </c>
      <c r="E22" s="91" t="s">
        <v>178</v>
      </c>
      <c r="F22" s="40"/>
      <c r="G22" s="40"/>
      <c r="H22" s="40"/>
      <c r="I22" s="40"/>
      <c r="J22" s="40"/>
      <c r="K22" s="40"/>
      <c r="L22" s="51" t="s">
        <v>419</v>
      </c>
      <c r="M22" s="40"/>
      <c r="N22" s="45" t="s">
        <v>521</v>
      </c>
      <c r="O22" s="44">
        <v>29</v>
      </c>
      <c r="P22" s="41"/>
      <c r="Q22" s="41"/>
      <c r="R22" s="46">
        <v>36</v>
      </c>
      <c r="S22" s="45" t="s">
        <v>532</v>
      </c>
      <c r="T22" s="40"/>
      <c r="U22" s="40"/>
      <c r="V22" s="66" t="s">
        <v>478</v>
      </c>
      <c r="W22" s="40"/>
      <c r="X22" s="40"/>
      <c r="Y22" s="60">
        <v>16</v>
      </c>
      <c r="Z22" s="55" t="s">
        <v>309</v>
      </c>
      <c r="AA22" s="40"/>
      <c r="AB22" s="91">
        <v>2.1800000000000002</v>
      </c>
      <c r="AC22" s="40" t="s">
        <v>424</v>
      </c>
      <c r="AD22" s="40"/>
      <c r="AE22" s="40"/>
      <c r="AF22" t="str">
        <f>_xlfn.XLOOKUP(AC22, Micromod!$D$2:$D$47,Micromod!$A$2:$A$47,"")</f>
        <v/>
      </c>
    </row>
    <row r="23" spans="1:32">
      <c r="A23" t="str">
        <f>_xlfn.XLOOKUP(D23, Micromod!$D$2:$D$47,Micromod!$A$2:$A$47,"")</f>
        <v>30</v>
      </c>
      <c r="B23" s="40"/>
      <c r="C23" s="40"/>
      <c r="D23" s="40" t="s">
        <v>198</v>
      </c>
      <c r="E23" s="91">
        <v>3.23</v>
      </c>
      <c r="F23" s="40"/>
      <c r="G23" s="40"/>
      <c r="H23" s="60">
        <v>23</v>
      </c>
      <c r="I23" s="40"/>
      <c r="J23" s="49" t="s">
        <v>393</v>
      </c>
      <c r="K23" s="40"/>
      <c r="L23" s="40"/>
      <c r="M23" s="40"/>
      <c r="N23" s="40" t="s">
        <v>522</v>
      </c>
      <c r="O23" s="44">
        <v>30</v>
      </c>
      <c r="P23" s="41"/>
      <c r="Q23" s="41"/>
      <c r="R23" s="46">
        <v>35</v>
      </c>
      <c r="S23" s="53"/>
      <c r="T23" s="40"/>
      <c r="U23" s="43" t="s">
        <v>421</v>
      </c>
      <c r="V23" s="40"/>
      <c r="W23" s="40"/>
      <c r="X23" s="40"/>
      <c r="Y23" s="40"/>
      <c r="Z23" s="55" t="s">
        <v>308</v>
      </c>
      <c r="AA23" s="40"/>
      <c r="AB23" s="91">
        <v>2.2799999999999998</v>
      </c>
      <c r="AC23" s="40" t="s">
        <v>423</v>
      </c>
      <c r="AD23" s="163" t="s">
        <v>547</v>
      </c>
      <c r="AE23" s="40"/>
      <c r="AF23" t="str">
        <f>_xlfn.XLOOKUP(AC23, Micromod!$D$2:$D$47,Micromod!$A$2:$A$47,"")</f>
        <v/>
      </c>
    </row>
    <row r="24" spans="1:32">
      <c r="A24" t="str">
        <f>_xlfn.XLOOKUP(D24, Micromod!$D$2:$D$47,Micromod!$A$2:$A$47,"")</f>
        <v>31</v>
      </c>
      <c r="B24" s="40"/>
      <c r="C24" s="40"/>
      <c r="D24" s="40" t="s">
        <v>202</v>
      </c>
      <c r="E24" s="95">
        <v>3.22</v>
      </c>
      <c r="F24" s="40"/>
      <c r="G24" s="40"/>
      <c r="H24" s="60">
        <v>22</v>
      </c>
      <c r="I24" s="40"/>
      <c r="J24" s="57" t="s">
        <v>396</v>
      </c>
      <c r="K24" s="40"/>
      <c r="L24" s="40"/>
      <c r="M24" s="40"/>
      <c r="N24" s="40" t="s">
        <v>523</v>
      </c>
      <c r="O24" s="44">
        <v>31</v>
      </c>
      <c r="P24" s="41"/>
      <c r="Q24" s="41"/>
      <c r="R24" s="46">
        <v>34</v>
      </c>
      <c r="S24" s="53"/>
      <c r="T24" s="40"/>
      <c r="U24" s="43" t="s">
        <v>420</v>
      </c>
      <c r="V24" s="40"/>
      <c r="W24" s="40"/>
      <c r="X24" s="40"/>
      <c r="Y24" s="40"/>
      <c r="Z24" s="55" t="s">
        <v>307</v>
      </c>
      <c r="AA24" s="40"/>
      <c r="AB24" s="91">
        <v>2.29</v>
      </c>
      <c r="AC24" s="40" t="s">
        <v>422</v>
      </c>
      <c r="AD24" s="163" t="s">
        <v>548</v>
      </c>
      <c r="AE24" s="40"/>
      <c r="AF24" t="str">
        <f>_xlfn.XLOOKUP(AC24, Micromod!$D$2:$D$47,Micromod!$A$2:$A$47,"")</f>
        <v/>
      </c>
    </row>
    <row r="25" spans="1:32">
      <c r="A25" t="str">
        <f>_xlfn.XLOOKUP(D25, Micromod!$D$2:$D$47,Micromod!$A$2:$A$47,"")</f>
        <v>32</v>
      </c>
      <c r="B25" s="40"/>
      <c r="C25" s="40"/>
      <c r="D25" s="40" t="s">
        <v>187</v>
      </c>
      <c r="E25" s="95" t="s">
        <v>188</v>
      </c>
      <c r="F25" s="63" t="s">
        <v>468</v>
      </c>
      <c r="G25" s="56">
        <v>9.1666666666666674E-2</v>
      </c>
      <c r="H25" s="60">
        <v>10</v>
      </c>
      <c r="I25" s="40"/>
      <c r="J25" s="40"/>
      <c r="K25" s="40"/>
      <c r="L25" s="40"/>
      <c r="M25" s="40"/>
      <c r="N25" s="40"/>
      <c r="O25" s="44">
        <v>32</v>
      </c>
      <c r="P25" s="41"/>
      <c r="Q25" s="41"/>
      <c r="R25" s="46">
        <v>33</v>
      </c>
      <c r="S25" s="45" t="s">
        <v>534</v>
      </c>
      <c r="T25" s="40"/>
      <c r="U25" s="40"/>
      <c r="V25" s="40"/>
      <c r="W25" s="40"/>
      <c r="X25" s="40"/>
      <c r="Y25" s="60">
        <v>9</v>
      </c>
      <c r="Z25" s="55" t="s">
        <v>53</v>
      </c>
      <c r="AA25" s="63" t="s">
        <v>469</v>
      </c>
      <c r="AB25" s="91">
        <v>4.7</v>
      </c>
      <c r="AC25" s="40" t="s">
        <v>49</v>
      </c>
      <c r="AD25" s="40"/>
      <c r="AE25" s="40"/>
      <c r="AF25" t="str">
        <f>_xlfn.XLOOKUP(AC25, Micromod!$D$2:$D$47,Micromod!$A$2:$A$47,"")</f>
        <v>33</v>
      </c>
    </row>
    <row r="26" spans="1:32">
      <c r="A26" t="str">
        <f>_xlfn.XLOOKUP(D26, Micromod!$D$2:$D$47,Micromod!$A$2:$A$47,"")</f>
        <v/>
      </c>
      <c r="B26" s="69"/>
      <c r="C26" s="69"/>
      <c r="D26" s="69"/>
      <c r="E26" s="78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78"/>
      <c r="AC26" s="69"/>
      <c r="AD26" s="70"/>
      <c r="AE26" s="70"/>
      <c r="AF26" t="str">
        <f>_xlfn.XLOOKUP(AC26, Micromod!$D$2:$D$47,Micromod!$A$2:$A$47,"")</f>
        <v/>
      </c>
    </row>
    <row r="27" spans="1:32">
      <c r="A27" t="str">
        <f>_xlfn.XLOOKUP(D27, Micromod!$D$2:$D$47,Micromod!$A$2:$A$47,"")</f>
        <v/>
      </c>
      <c r="B27" s="69"/>
      <c r="C27" s="69"/>
      <c r="D27" s="69"/>
      <c r="E27" s="78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 t="s">
        <v>500</v>
      </c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78"/>
      <c r="AC27" s="69"/>
      <c r="AD27" s="70"/>
      <c r="AE27" s="70"/>
      <c r="AF27" t="str">
        <f>_xlfn.XLOOKUP(AC27, Micromod!$D$2:$D$47,Micromod!$A$2:$A$47,"")</f>
        <v/>
      </c>
    </row>
    <row r="28" spans="1:32" s="68" customFormat="1">
      <c r="A28" t="str">
        <f>_xlfn.XLOOKUP(D28, Micromod!$D$2:$D$47,Micromod!$A$2:$A$47,"")</f>
        <v>34</v>
      </c>
      <c r="B28" s="69"/>
      <c r="C28" s="69"/>
      <c r="D28" s="188" t="s">
        <v>222</v>
      </c>
      <c r="E28" s="78" t="s">
        <v>570</v>
      </c>
      <c r="F28" s="69"/>
      <c r="G28" s="71" t="s">
        <v>213</v>
      </c>
      <c r="H28" s="72">
        <v>7</v>
      </c>
      <c r="I28" s="69"/>
      <c r="J28" s="69"/>
      <c r="K28" s="73" t="s">
        <v>488</v>
      </c>
      <c r="L28" s="69"/>
      <c r="M28" s="69"/>
      <c r="N28" s="74" t="s">
        <v>520</v>
      </c>
      <c r="O28" s="75">
        <v>42</v>
      </c>
      <c r="P28" s="76" t="s">
        <v>494</v>
      </c>
      <c r="Q28" s="69" t="s">
        <v>485</v>
      </c>
      <c r="R28" s="75">
        <v>47</v>
      </c>
      <c r="S28" s="74" t="s">
        <v>539</v>
      </c>
      <c r="T28" s="69"/>
      <c r="U28" s="77" t="s">
        <v>415</v>
      </c>
      <c r="V28" s="69"/>
      <c r="W28" s="69"/>
      <c r="X28" s="69"/>
      <c r="Y28" s="72">
        <v>8</v>
      </c>
      <c r="Z28" s="71" t="s">
        <v>218</v>
      </c>
      <c r="AA28" s="69"/>
      <c r="AB28" s="78">
        <v>3.16</v>
      </c>
      <c r="AC28" s="188" t="s">
        <v>223</v>
      </c>
      <c r="AD28" s="76"/>
      <c r="AE28" s="76"/>
      <c r="AF28" t="str">
        <f>_xlfn.XLOOKUP(AC28, Micromod!$D$2:$D$47,Micromod!$A$2:$A$47,"")</f>
        <v>38</v>
      </c>
    </row>
    <row r="29" spans="1:32" s="68" customFormat="1">
      <c r="A29" t="str">
        <f>_xlfn.XLOOKUP(D29, Micromod!$D$2:$D$47,Micromod!$A$2:$A$47,"")</f>
        <v>35</v>
      </c>
      <c r="B29" s="69"/>
      <c r="C29" s="69"/>
      <c r="D29" s="188" t="s">
        <v>221</v>
      </c>
      <c r="E29" s="78">
        <v>3.14</v>
      </c>
      <c r="F29" s="69"/>
      <c r="G29" s="71" t="s">
        <v>214</v>
      </c>
      <c r="H29" s="72">
        <v>6</v>
      </c>
      <c r="I29" s="69"/>
      <c r="J29" s="69"/>
      <c r="K29" s="73" t="s">
        <v>489</v>
      </c>
      <c r="L29" s="77" t="s">
        <v>487</v>
      </c>
      <c r="M29" s="69"/>
      <c r="N29" s="74" t="s">
        <v>535</v>
      </c>
      <c r="O29" s="75">
        <v>43</v>
      </c>
      <c r="P29" s="69" t="s">
        <v>486</v>
      </c>
      <c r="Q29" s="69" t="s">
        <v>495</v>
      </c>
      <c r="R29" s="75">
        <v>46</v>
      </c>
      <c r="S29" s="74" t="s">
        <v>538</v>
      </c>
      <c r="T29" s="69"/>
      <c r="U29" s="77" t="s">
        <v>412</v>
      </c>
      <c r="V29" s="69"/>
      <c r="W29" s="69"/>
      <c r="X29" s="69"/>
      <c r="Y29" s="72">
        <v>9</v>
      </c>
      <c r="Z29" s="71" t="s">
        <v>217</v>
      </c>
      <c r="AA29" s="69"/>
      <c r="AB29" s="78">
        <v>3.17</v>
      </c>
      <c r="AC29" s="188" t="s">
        <v>224</v>
      </c>
      <c r="AD29" s="76"/>
      <c r="AE29" s="76"/>
      <c r="AF29" t="str">
        <f>_xlfn.XLOOKUP(AC29, Micromod!$D$2:$D$47,Micromod!$A$2:$A$47,"")</f>
        <v>39</v>
      </c>
    </row>
    <row r="30" spans="1:32" s="68" customFormat="1">
      <c r="A30" t="str">
        <f>_xlfn.XLOOKUP(D30, Micromod!$D$2:$D$47,Micromod!$A$2:$A$47,"")</f>
        <v/>
      </c>
      <c r="B30" s="76"/>
      <c r="C30" s="76"/>
      <c r="D30" s="189"/>
      <c r="E30" s="93"/>
      <c r="F30" s="76"/>
      <c r="G30" s="76"/>
      <c r="H30" s="69"/>
      <c r="I30" s="76"/>
      <c r="J30" s="76"/>
      <c r="K30" s="76"/>
      <c r="L30" s="76"/>
      <c r="M30" s="197" t="s">
        <v>379</v>
      </c>
      <c r="N30" s="197"/>
      <c r="O30" s="197"/>
      <c r="P30" s="76" t="s">
        <v>493</v>
      </c>
      <c r="Q30" s="76" t="s">
        <v>496</v>
      </c>
      <c r="R30" s="75">
        <v>45</v>
      </c>
      <c r="S30" s="74" t="s">
        <v>537</v>
      </c>
      <c r="T30" s="76"/>
      <c r="U30" s="76"/>
      <c r="V30" s="79" t="s">
        <v>491</v>
      </c>
      <c r="W30" s="76"/>
      <c r="X30" s="149" t="s">
        <v>409</v>
      </c>
      <c r="Y30" s="80">
        <v>4</v>
      </c>
      <c r="Z30" s="81" t="s">
        <v>216</v>
      </c>
      <c r="AA30" s="76"/>
      <c r="AB30" s="93">
        <v>3.12</v>
      </c>
      <c r="AC30" s="188" t="s">
        <v>219</v>
      </c>
      <c r="AD30" s="76"/>
      <c r="AE30" s="76"/>
      <c r="AF30" t="str">
        <f>_xlfn.XLOOKUP(AC30, Micromod!$D$2:$D$47,Micromod!$A$2:$A$47,"")</f>
        <v>37</v>
      </c>
    </row>
    <row r="31" spans="1:32" s="68" customFormat="1">
      <c r="A31" t="str">
        <f>_xlfn.XLOOKUP(D31, Micromod!$D$2:$D$47,Micromod!$A$2:$A$47,"")</f>
        <v>36</v>
      </c>
      <c r="B31" s="76"/>
      <c r="C31" s="76"/>
      <c r="D31" s="188" t="s">
        <v>220</v>
      </c>
      <c r="E31" s="93">
        <v>3.13</v>
      </c>
      <c r="F31" s="76"/>
      <c r="G31" s="81" t="s">
        <v>215</v>
      </c>
      <c r="H31" s="72">
        <v>5</v>
      </c>
      <c r="I31" s="149" t="s">
        <v>407</v>
      </c>
      <c r="J31" s="76"/>
      <c r="K31" s="79" t="s">
        <v>490</v>
      </c>
      <c r="L31" s="76"/>
      <c r="M31" s="76"/>
      <c r="N31" s="82" t="s">
        <v>536</v>
      </c>
      <c r="O31" s="75">
        <v>44</v>
      </c>
      <c r="P31" s="76" t="s">
        <v>492</v>
      </c>
      <c r="Q31" s="69" t="s">
        <v>497</v>
      </c>
      <c r="R31" s="197" t="s">
        <v>405</v>
      </c>
      <c r="S31" s="197"/>
      <c r="T31" s="197"/>
      <c r="U31" s="76"/>
      <c r="V31" s="76"/>
      <c r="W31" s="76"/>
      <c r="X31" s="76"/>
      <c r="Y31" s="76"/>
      <c r="Z31" s="76"/>
      <c r="AA31" s="76"/>
      <c r="AB31" s="93"/>
      <c r="AC31" s="76"/>
      <c r="AD31" s="76"/>
      <c r="AE31" s="76"/>
      <c r="AF31" t="str">
        <f>_xlfn.XLOOKUP(AC31, Micromod!$D$2:$D$47,Micromod!$A$2:$A$47,"")</f>
        <v/>
      </c>
    </row>
    <row r="32" spans="1:32">
      <c r="A32" t="str">
        <f>_xlfn.XLOOKUP(D32, Micromod!$D$2:$D$47,Micromod!$A$2:$A$47,"")</f>
        <v/>
      </c>
      <c r="B32" s="70"/>
      <c r="C32" s="70"/>
      <c r="D32" s="70"/>
      <c r="E32" s="94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94"/>
      <c r="AC32" s="70"/>
      <c r="AD32" s="70"/>
      <c r="AE32" s="70"/>
      <c r="AF32" t="str">
        <f>_xlfn.XLOOKUP(AC32, Micromod!$D$2:$D$47,Micromod!$A$2:$A$47,"")</f>
        <v/>
      </c>
    </row>
    <row r="33" spans="1:32">
      <c r="A33" t="str">
        <f>_xlfn.XLOOKUP(D33, Micromod!$D$2:$D$47,Micromod!$A$2:$A$47,"")</f>
        <v/>
      </c>
      <c r="B33" s="70"/>
      <c r="C33" s="70"/>
      <c r="D33" s="70"/>
      <c r="E33" s="94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69" t="s">
        <v>481</v>
      </c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94"/>
      <c r="AC33" s="70"/>
      <c r="AD33" s="70"/>
      <c r="AE33" s="70"/>
      <c r="AF33" t="str">
        <f>_xlfn.XLOOKUP(AC33, Micromod!$D$2:$D$47,Micromod!$A$2:$A$47,"")</f>
        <v/>
      </c>
    </row>
    <row r="34" spans="1:32">
      <c r="A34" t="str">
        <f>_xlfn.XLOOKUP(D34, Micromod!$D$2:$D$47,Micromod!$A$2:$A$47,"")</f>
        <v/>
      </c>
      <c r="B34" s="69"/>
      <c r="C34" s="73" t="s">
        <v>621</v>
      </c>
      <c r="D34" s="69" t="s">
        <v>322</v>
      </c>
      <c r="E34" s="78">
        <v>4.26</v>
      </c>
      <c r="F34" s="69"/>
      <c r="G34" s="83">
        <v>4.9999999999999996E-2</v>
      </c>
      <c r="H34" s="69"/>
      <c r="I34" s="69"/>
      <c r="J34" s="69"/>
      <c r="K34" s="69"/>
      <c r="L34" s="84" t="s">
        <v>381</v>
      </c>
      <c r="M34" s="69"/>
      <c r="N34" s="45" t="s">
        <v>520</v>
      </c>
      <c r="O34" s="85">
        <v>52</v>
      </c>
      <c r="P34" s="69"/>
      <c r="Q34" s="69"/>
      <c r="R34" s="198" t="s">
        <v>379</v>
      </c>
      <c r="S34" s="198"/>
      <c r="T34" s="198"/>
      <c r="U34" s="198"/>
      <c r="V34" s="69"/>
      <c r="W34" s="69"/>
      <c r="X34" s="69"/>
      <c r="Y34" s="69"/>
      <c r="Z34" s="69"/>
      <c r="AA34" s="69"/>
      <c r="AB34" s="78"/>
      <c r="AC34" s="69"/>
      <c r="AD34" s="70"/>
      <c r="AE34" s="70"/>
      <c r="AF34" t="str">
        <f>_xlfn.XLOOKUP(AC34, Micromod!$D$2:$D$47,Micromod!$A$2:$A$47,"")</f>
        <v/>
      </c>
    </row>
    <row r="35" spans="1:32">
      <c r="A35" t="str">
        <f>_xlfn.XLOOKUP(D35, Micromod!$D$2:$D$47,Micromod!$A$2:$A$47,"")</f>
        <v/>
      </c>
      <c r="B35" s="69"/>
      <c r="C35" s="73" t="s">
        <v>622</v>
      </c>
      <c r="D35" s="69" t="s">
        <v>321</v>
      </c>
      <c r="E35" s="78">
        <v>4.25</v>
      </c>
      <c r="F35" s="69"/>
      <c r="G35" s="69"/>
      <c r="H35" s="69"/>
      <c r="I35" s="69"/>
      <c r="J35" s="69"/>
      <c r="K35" s="69"/>
      <c r="L35" s="84" t="s">
        <v>382</v>
      </c>
      <c r="M35" s="69"/>
      <c r="N35" s="45" t="s">
        <v>535</v>
      </c>
      <c r="O35" s="85">
        <v>53</v>
      </c>
      <c r="P35" s="69"/>
      <c r="Q35" s="69"/>
      <c r="R35" s="85">
        <v>50</v>
      </c>
      <c r="S35" s="45" t="s">
        <v>538</v>
      </c>
      <c r="T35" s="69"/>
      <c r="U35" s="86" t="s">
        <v>484</v>
      </c>
      <c r="V35" s="87" t="s">
        <v>489</v>
      </c>
      <c r="W35" s="69"/>
      <c r="X35" s="69"/>
      <c r="Y35" s="69"/>
      <c r="Z35" s="83">
        <v>5.1388888888888894E-2</v>
      </c>
      <c r="AA35" s="69"/>
      <c r="AB35" s="78">
        <v>4.28</v>
      </c>
      <c r="AC35" s="69" t="s">
        <v>324</v>
      </c>
      <c r="AD35" s="73" t="s">
        <v>623</v>
      </c>
      <c r="AE35" s="70"/>
      <c r="AF35" t="str">
        <f>_xlfn.XLOOKUP(AC35, Micromod!$D$2:$D$47,Micromod!$A$2:$A$47,"")</f>
        <v/>
      </c>
    </row>
    <row r="36" spans="1:32">
      <c r="A36" t="str">
        <f>_xlfn.XLOOKUP(D36, Micromod!$D$2:$D$47,Micromod!$A$2:$A$47,"")</f>
        <v/>
      </c>
      <c r="B36" s="69"/>
      <c r="C36" s="73" t="s">
        <v>624</v>
      </c>
      <c r="D36" s="69" t="s">
        <v>325</v>
      </c>
      <c r="E36" s="78">
        <v>4.29</v>
      </c>
      <c r="F36" s="69"/>
      <c r="G36" s="83">
        <v>5.2083333333333336E-2</v>
      </c>
      <c r="H36" s="69"/>
      <c r="I36" s="69"/>
      <c r="J36" s="69"/>
      <c r="K36" s="87" t="s">
        <v>488</v>
      </c>
      <c r="L36" s="69"/>
      <c r="M36" s="69"/>
      <c r="N36" s="45" t="s">
        <v>526</v>
      </c>
      <c r="O36" s="85">
        <v>54</v>
      </c>
      <c r="P36" s="69"/>
      <c r="R36" s="85">
        <v>49</v>
      </c>
      <c r="S36" s="45" t="s">
        <v>539</v>
      </c>
      <c r="T36" s="69"/>
      <c r="U36" s="69"/>
      <c r="V36" s="87" t="s">
        <v>491</v>
      </c>
      <c r="W36" s="69"/>
      <c r="X36" s="69"/>
      <c r="Y36" s="69"/>
      <c r="Z36" s="83">
        <v>5.0694444444444452E-2</v>
      </c>
      <c r="AA36" s="69"/>
      <c r="AB36" s="78">
        <v>4.2699999999999996</v>
      </c>
      <c r="AC36" s="69" t="s">
        <v>323</v>
      </c>
      <c r="AD36" s="73" t="s">
        <v>620</v>
      </c>
      <c r="AE36" s="70"/>
      <c r="AF36" t="str">
        <f>_xlfn.XLOOKUP(AC36, Micromod!$D$2:$D$47,Micromod!$A$2:$A$47,"")</f>
        <v/>
      </c>
    </row>
    <row r="37" spans="1:32">
      <c r="A37" t="str">
        <f>_xlfn.XLOOKUP(D37, Micromod!$D$2:$D$47,Micromod!$A$2:$A$47,"")</f>
        <v/>
      </c>
      <c r="B37" s="69"/>
      <c r="C37" s="69"/>
      <c r="D37" s="69"/>
      <c r="E37" s="78"/>
      <c r="F37" s="69"/>
      <c r="G37" s="69"/>
      <c r="H37" s="69"/>
      <c r="I37" s="69"/>
      <c r="J37" s="69"/>
      <c r="K37" s="69"/>
      <c r="L37" s="69"/>
      <c r="M37" s="197" t="s">
        <v>405</v>
      </c>
      <c r="N37" s="197"/>
      <c r="O37" s="197"/>
      <c r="P37" s="69"/>
      <c r="Q37" s="69" t="s">
        <v>482</v>
      </c>
      <c r="R37" s="85">
        <v>51</v>
      </c>
      <c r="S37" s="45" t="s">
        <v>540</v>
      </c>
      <c r="T37" s="69"/>
      <c r="U37" s="69"/>
      <c r="V37" s="69"/>
      <c r="W37" s="69"/>
      <c r="X37" s="88" t="s">
        <v>409</v>
      </c>
      <c r="Y37" s="69"/>
      <c r="Z37" s="69"/>
      <c r="AA37" s="69"/>
      <c r="AB37" s="78">
        <v>4.22</v>
      </c>
      <c r="AC37" s="69" t="s">
        <v>320</v>
      </c>
      <c r="AD37" s="73" t="s">
        <v>625</v>
      </c>
      <c r="AE37" s="70"/>
      <c r="AF37" t="str">
        <f>_xlfn.XLOOKUP(AC37, Micromod!$D$2:$D$47,Micromod!$A$2:$A$47,"")</f>
        <v/>
      </c>
    </row>
    <row r="38" spans="1:32">
      <c r="A38" t="str">
        <f>_xlfn.XLOOKUP(D38, Micromod!$D$2:$D$47,Micromod!$A$2:$A$47,"")</f>
        <v/>
      </c>
      <c r="B38" s="69"/>
      <c r="C38" s="69"/>
      <c r="D38" s="69"/>
      <c r="E38" s="78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78"/>
      <c r="AC38" s="69"/>
      <c r="AD38" s="69"/>
      <c r="AE38" s="70"/>
      <c r="AF38" t="str">
        <f>_xlfn.XLOOKUP(AC38, Micromod!$D$2:$D$47,Micromod!$A$2:$A$47,"")</f>
        <v/>
      </c>
    </row>
    <row r="39" spans="1:32">
      <c r="A39" t="str">
        <f>_xlfn.XLOOKUP(D39, Micromod!$D$2:$D$47,Micromod!$A$2:$A$47,"")</f>
        <v/>
      </c>
      <c r="B39" s="69"/>
      <c r="C39" s="73" t="s">
        <v>621</v>
      </c>
      <c r="D39" s="69" t="s">
        <v>322</v>
      </c>
      <c r="E39" s="78">
        <v>4.26</v>
      </c>
      <c r="F39" s="69"/>
      <c r="G39" s="83">
        <v>4.9999999999999996E-2</v>
      </c>
      <c r="H39" s="69"/>
      <c r="I39" s="69"/>
      <c r="J39" s="69"/>
      <c r="K39" s="69"/>
      <c r="L39" s="84" t="s">
        <v>381</v>
      </c>
      <c r="M39" s="69"/>
      <c r="N39" s="45" t="s">
        <v>520</v>
      </c>
      <c r="O39" s="85">
        <v>52</v>
      </c>
      <c r="P39" s="69"/>
      <c r="Q39" s="69"/>
      <c r="R39" s="198" t="s">
        <v>379</v>
      </c>
      <c r="S39" s="198"/>
      <c r="T39" s="198"/>
      <c r="U39" s="198"/>
      <c r="V39" s="69"/>
      <c r="W39" s="69"/>
      <c r="X39" s="69"/>
      <c r="Y39" s="69"/>
      <c r="Z39" s="69"/>
      <c r="AA39" s="69"/>
      <c r="AB39" s="78"/>
      <c r="AC39" s="69"/>
      <c r="AD39" s="69"/>
      <c r="AE39" s="70"/>
      <c r="AF39" t="str">
        <f>_xlfn.XLOOKUP(AC39, Micromod!$D$2:$D$47,Micromod!$A$2:$A$47,"")</f>
        <v/>
      </c>
    </row>
    <row r="40" spans="1:32">
      <c r="A40" t="str">
        <f>_xlfn.XLOOKUP(D40, Micromod!$D$2:$D$47,Micromod!$A$2:$A$47,"")</f>
        <v/>
      </c>
      <c r="B40" s="69"/>
      <c r="C40" s="73" t="s">
        <v>622</v>
      </c>
      <c r="D40" s="69" t="s">
        <v>321</v>
      </c>
      <c r="E40" s="78">
        <v>4.25</v>
      </c>
      <c r="F40" s="69"/>
      <c r="G40" s="69"/>
      <c r="H40" s="69"/>
      <c r="I40" s="69"/>
      <c r="J40" s="69"/>
      <c r="K40" s="69"/>
      <c r="L40" s="84" t="s">
        <v>382</v>
      </c>
      <c r="M40" s="69"/>
      <c r="N40" s="45" t="s">
        <v>535</v>
      </c>
      <c r="O40" s="85">
        <v>53</v>
      </c>
      <c r="P40" s="69"/>
      <c r="Q40" s="69"/>
      <c r="R40" s="85">
        <v>50</v>
      </c>
      <c r="S40" s="45" t="s">
        <v>538</v>
      </c>
      <c r="T40" s="69"/>
      <c r="U40" s="86" t="s">
        <v>484</v>
      </c>
      <c r="V40" s="87" t="s">
        <v>489</v>
      </c>
      <c r="W40" s="69"/>
      <c r="X40" s="69"/>
      <c r="Y40" s="69"/>
      <c r="Z40" s="83">
        <v>5.1388888888888894E-2</v>
      </c>
      <c r="AA40" s="69"/>
      <c r="AB40" s="78">
        <v>4.28</v>
      </c>
      <c r="AC40" s="69" t="s">
        <v>324</v>
      </c>
      <c r="AD40" s="73" t="s">
        <v>623</v>
      </c>
      <c r="AE40" s="70"/>
      <c r="AF40" t="str">
        <f>_xlfn.XLOOKUP(AC40, Micromod!$D$2:$D$47,Micromod!$A$2:$A$47,"")</f>
        <v/>
      </c>
    </row>
    <row r="41" spans="1:32">
      <c r="A41" t="str">
        <f>_xlfn.XLOOKUP(D41, Micromod!$D$2:$D$47,Micromod!$A$2:$A$47,"")</f>
        <v/>
      </c>
      <c r="B41" s="69"/>
      <c r="C41" s="73" t="s">
        <v>624</v>
      </c>
      <c r="D41" s="69" t="s">
        <v>325</v>
      </c>
      <c r="E41" s="78">
        <v>4.29</v>
      </c>
      <c r="F41" s="69"/>
      <c r="G41" s="83">
        <v>5.2083333333333336E-2</v>
      </c>
      <c r="H41" s="69"/>
      <c r="I41" s="69"/>
      <c r="J41" s="69"/>
      <c r="K41" s="87" t="s">
        <v>488</v>
      </c>
      <c r="L41" s="69"/>
      <c r="M41" s="69"/>
      <c r="N41" s="45" t="s">
        <v>526</v>
      </c>
      <c r="O41" s="85">
        <v>54</v>
      </c>
      <c r="P41" s="69"/>
      <c r="Q41" s="69"/>
      <c r="R41" s="85">
        <v>49</v>
      </c>
      <c r="S41" s="45" t="s">
        <v>539</v>
      </c>
      <c r="T41" s="69"/>
      <c r="U41" s="69"/>
      <c r="V41" s="87" t="s">
        <v>491</v>
      </c>
      <c r="W41" s="69"/>
      <c r="X41" s="69"/>
      <c r="Y41" s="69"/>
      <c r="Z41" s="83">
        <v>5.0694444444444452E-2</v>
      </c>
      <c r="AA41" s="69"/>
      <c r="AB41" s="78">
        <v>4.2699999999999996</v>
      </c>
      <c r="AC41" s="69" t="s">
        <v>323</v>
      </c>
      <c r="AD41" s="73" t="s">
        <v>620</v>
      </c>
      <c r="AE41" s="70"/>
      <c r="AF41" t="str">
        <f>_xlfn.XLOOKUP(AC41, Micromod!$D$2:$D$47,Micromod!$A$2:$A$47,"")</f>
        <v/>
      </c>
    </row>
    <row r="42" spans="1:32">
      <c r="A42" t="str">
        <f>_xlfn.XLOOKUP(D42, Micromod!$D$2:$D$47,Micromod!$A$2:$A$47,"")</f>
        <v/>
      </c>
      <c r="B42" s="69"/>
      <c r="C42" s="69"/>
      <c r="D42" s="69"/>
      <c r="E42" s="78"/>
      <c r="F42" s="69"/>
      <c r="G42" s="69"/>
      <c r="H42" s="69"/>
      <c r="I42" s="69"/>
      <c r="J42" s="69"/>
      <c r="K42" s="69"/>
      <c r="L42" s="69"/>
      <c r="M42" s="197" t="s">
        <v>405</v>
      </c>
      <c r="N42" s="197"/>
      <c r="O42" s="197"/>
      <c r="P42" s="69"/>
      <c r="Q42" s="69" t="s">
        <v>482</v>
      </c>
      <c r="R42" s="85">
        <v>48</v>
      </c>
      <c r="S42" s="45" t="s">
        <v>536</v>
      </c>
      <c r="T42" s="69"/>
      <c r="U42" s="84" t="s">
        <v>420</v>
      </c>
      <c r="V42" s="69"/>
      <c r="W42" s="69"/>
      <c r="X42" s="69"/>
      <c r="Y42" s="69"/>
      <c r="Z42" s="69"/>
      <c r="AA42" s="69"/>
      <c r="AB42" s="78">
        <v>4.24</v>
      </c>
      <c r="AC42" s="78" t="s">
        <v>181</v>
      </c>
      <c r="AD42" s="73" t="s">
        <v>619</v>
      </c>
      <c r="AE42" s="70"/>
      <c r="AF42" t="str">
        <f>_xlfn.XLOOKUP(AC42, Micromod!$D$2:$D$47,Micromod!$A$2:$A$47,"")</f>
        <v/>
      </c>
    </row>
  </sheetData>
  <mergeCells count="12">
    <mergeCell ref="M30:O30"/>
    <mergeCell ref="R31:T31"/>
    <mergeCell ref="R34:U34"/>
    <mergeCell ref="M37:O37"/>
    <mergeCell ref="R39:U39"/>
    <mergeCell ref="M42:O42"/>
    <mergeCell ref="M2:O2"/>
    <mergeCell ref="R2:U2"/>
    <mergeCell ref="R3:U3"/>
    <mergeCell ref="R4:U4"/>
    <mergeCell ref="M16:O16"/>
    <mergeCell ref="R16:U16"/>
  </mergeCells>
  <pageMargins left="0.7" right="0.7" top="0.75" bottom="0.75" header="0.3" footer="0.3"/>
  <pageSetup scale="68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D81A15-6AB7-49C9-88C3-CD8EFDD5CF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T4.x - MUX</vt:lpstr>
      <vt:lpstr>T4</vt:lpstr>
      <vt:lpstr>T4 - GPIO </vt:lpstr>
      <vt:lpstr>T4 card like</vt:lpstr>
      <vt:lpstr>T4.1</vt:lpstr>
      <vt:lpstr>T4.1 MUX</vt:lpstr>
      <vt:lpstr>T4.1 - GPIO</vt:lpstr>
      <vt:lpstr>T4.1 card like</vt:lpstr>
      <vt:lpstr>Micromod</vt:lpstr>
      <vt:lpstr>MMod OV757x</vt:lpstr>
      <vt:lpstr>MicroMod - Mux</vt:lpstr>
      <vt:lpstr>MicroMod - GPIO</vt:lpstr>
      <vt:lpstr>Micromod - MM Pin</vt:lpstr>
      <vt:lpstr>MicroMod Function Boards</vt:lpstr>
      <vt:lpstr>T4.1 card like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cp:lastPrinted>2021-02-03T13:45:38Z</cp:lastPrinted>
  <dcterms:created xsi:type="dcterms:W3CDTF">2019-04-21T14:51:30Z</dcterms:created>
  <dcterms:modified xsi:type="dcterms:W3CDTF">2026-09-24T22:37:48Z</dcterms:modified>
</cp:coreProperties>
</file>